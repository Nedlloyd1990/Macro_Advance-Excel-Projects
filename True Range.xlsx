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285" windowWidth="15180" windowHeight="7860"/>
  </bookViews>
  <sheets>
    <sheet name="Sample Data Set" sheetId="6" r:id="rId1"/>
  </sheets>
  <definedNames>
    <definedName name="ATRWindow">#REF!</definedName>
    <definedName name="Days">#REF!</definedName>
    <definedName name="DaysInYear">#REF!</definedName>
    <definedName name="EndDate">#REF!</definedName>
    <definedName name="ExternalData_1" localSheetId="0">'Sample Data Set'!$A$2:$A$170</definedName>
    <definedName name="ExternalData_10" localSheetId="0">'Sample Data Set'!$A$2:$A$170</definedName>
    <definedName name="ExternalData_11" localSheetId="0">'Sample Data Set'!$A$2:$A$170</definedName>
    <definedName name="ExternalData_12" localSheetId="0">'Sample Data Set'!$A$2:$A$170</definedName>
    <definedName name="ExternalData_13" localSheetId="0">'Sample Data Set'!$A$2:$A$170</definedName>
    <definedName name="ExternalData_14" localSheetId="0">'Sample Data Set'!$A$2:$A$170</definedName>
    <definedName name="ExternalData_15" localSheetId="0">'Sample Data Set'!$A$2:$A$170</definedName>
    <definedName name="ExternalData_16" localSheetId="0">'Sample Data Set'!$A$2:$A$170</definedName>
    <definedName name="ExternalData_17" localSheetId="0">'Sample Data Set'!$A$2:$A$170</definedName>
    <definedName name="ExternalData_18" localSheetId="0">'Sample Data Set'!$A$2:$A$170</definedName>
    <definedName name="ExternalData_19" localSheetId="0">'Sample Data Set'!$A$2:$A$170</definedName>
    <definedName name="ExternalData_2" localSheetId="0">'Sample Data Set'!$A$2:$A$170</definedName>
    <definedName name="ExternalData_20" localSheetId="0">'Sample Data Set'!$A$2:$A$170</definedName>
    <definedName name="ExternalData_21" localSheetId="0">'Sample Data Set'!$A$2:$A$170</definedName>
    <definedName name="ExternalData_22" localSheetId="0">'Sample Data Set'!$A$2:$A$170</definedName>
    <definedName name="ExternalData_23" localSheetId="0">'Sample Data Set'!$A$2:$A$170</definedName>
    <definedName name="ExternalData_24" localSheetId="0">'Sample Data Set'!$A$2:$A$170</definedName>
    <definedName name="ExternalData_25" localSheetId="0">'Sample Data Set'!$A$2:$A$170</definedName>
    <definedName name="ExternalData_26" localSheetId="0">'Sample Data Set'!$A$2:$A$170</definedName>
    <definedName name="ExternalData_27" localSheetId="0">'Sample Data Set'!$A$2:$A$170</definedName>
    <definedName name="ExternalData_28" localSheetId="0">'Sample Data Set'!$A$2:$A$170</definedName>
    <definedName name="ExternalData_29" localSheetId="0">'Sample Data Set'!$A$2:$A$170</definedName>
    <definedName name="ExternalData_3" localSheetId="0">'Sample Data Set'!$A$2:$A$170</definedName>
    <definedName name="ExternalData_30" localSheetId="0">'Sample Data Set'!$A$2:$A$170</definedName>
    <definedName name="ExternalData_31" localSheetId="0">'Sample Data Set'!$A$2:$A$170</definedName>
    <definedName name="ExternalData_32" localSheetId="0">'Sample Data Set'!$A$2:$A$170</definedName>
    <definedName name="ExternalData_33" localSheetId="0">'Sample Data Set'!$A$2:$A$170</definedName>
    <definedName name="ExternalData_36" localSheetId="0">'Sample Data Set'!$A$2:$A$170</definedName>
    <definedName name="ExternalData_37" localSheetId="0">'Sample Data Set'!$A$2:$A$170</definedName>
    <definedName name="ExternalData_38" localSheetId="0">'Sample Data Set'!$A$2:$A$170</definedName>
    <definedName name="ExternalData_39" localSheetId="0">'Sample Data Set'!$A$2:$A$170</definedName>
    <definedName name="ExternalData_4" localSheetId="0">'Sample Data Set'!$A$2:$A$170</definedName>
    <definedName name="ExternalData_40" localSheetId="0">'Sample Data Set'!$A$2:$A$170</definedName>
    <definedName name="ExternalData_41" localSheetId="0">'Sample Data Set'!$A$2:$A$170</definedName>
    <definedName name="ExternalData_42" localSheetId="0">'Sample Data Set'!$A$2:$A$170</definedName>
    <definedName name="ExternalData_43" localSheetId="0">'Sample Data Set'!$A$2:$A$170</definedName>
    <definedName name="ExternalData_44" localSheetId="0">'Sample Data Set'!$A$2:$A$170</definedName>
    <definedName name="ExternalData_5" localSheetId="0">'Sample Data Set'!$A$2:$A$170</definedName>
    <definedName name="ExternalData_6" localSheetId="0">'Sample Data Set'!$A$2:$A$170</definedName>
    <definedName name="ExternalData_7" localSheetId="0">'Sample Data Set'!$A$2:$A$170</definedName>
    <definedName name="ExternalData_8" localSheetId="0">'Sample Data Set'!$A$2:$A$170</definedName>
    <definedName name="ExternalData_9" localSheetId="0">'Sample Data Set'!$A$2:$A$170</definedName>
    <definedName name="RSIWindow">#REF!</definedName>
    <definedName name="StartDate">#REF!</definedName>
    <definedName name="StockTicker">#REF!</definedName>
    <definedName name="VolatilityDays">#REF!</definedName>
  </definedNames>
  <calcPr calcId="144525"/>
</workbook>
</file>

<file path=xl/calcChain.xml><?xml version="1.0" encoding="utf-8"?>
<calcChain xmlns="http://schemas.openxmlformats.org/spreadsheetml/2006/main">
  <c r="F4" i="6" l="1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3" i="6"/>
  <c r="G16" i="6" l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</calcChain>
</file>

<file path=xl/connections.xml><?xml version="1.0" encoding="utf-8"?>
<connections xmlns="http://schemas.openxmlformats.org/spreadsheetml/2006/main">
  <connection id="1" name="Connection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2" name="Connection1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3" name="Connection10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4" name="Connection11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5" name="Connection12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6" name="Connection13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7" name="Connection14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8" name="Connection15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9" name="Connection16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0" name="Connection17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1" name="Connection18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2" name="Connection19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3" name="Connection2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4" name="Connection20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5" name="Connection21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6" name="Connection22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7" name="Connection23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8" name="Connection24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9" name="Connection25" type="4" refreshedVersion="4" background="1" saveData="1">
    <webPr xl2000="1" url="http://ichart.yahoo.com/table.csv?s=BP&amp;a=0&amp;b=3&amp;c=2013&amp;d=8&amp;e=2&amp;f=2013&amp;g=&amp;q=q&amp;y=0&amp;z=BP&amp;x=.csv" htmlFormat="all"/>
  </connection>
  <connection id="20" name="Connection26" type="4" refreshedVersion="4" background="1" saveData="1">
    <webPr xl2000="1" url="http://ichart.yahoo.com/table.csv?s=BP&amp;a=0&amp;b=3&amp;c=2013&amp;d=8&amp;e=2&amp;f=2013&amp;g=&amp;q=q&amp;y=0&amp;z=BP&amp;x=.csv" htmlFormat="all"/>
  </connection>
  <connection id="21" name="Connection27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22" name="Connection28" type="4" refreshedVersion="4" background="1" saveData="1">
    <webPr xl2000="1" url="http://ichart.yahoo.com/table.csv?s=BP&amp;a=0&amp;b=3&amp;c=2013&amp;d=8&amp;e=2&amp;f=2013&amp;g=&amp;q=q&amp;y=0&amp;z=BP&amp;x=.csv" htmlFormat="all"/>
  </connection>
  <connection id="23" name="Connection29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24" name="Connection3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25" name="Connection30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26" name="Connection31" type="4" refreshedVersion="4" background="1" saveData="1">
    <webPr xl2000="1" url="http://ichart.yahoo.com/table.csv?s=BP&amp;a=0&amp;b=3&amp;c=2013&amp;d=8&amp;e=2&amp;f=2013&amp;g=&amp;q=q&amp;y=0&amp;z=BP&amp;x=.csv" htmlFormat="all"/>
  </connection>
  <connection id="27" name="Connection32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28" name="Connection33" type="4" refreshedVersion="0" background="1">
    <webPr url="http://ichart.yahoo.com/table.csv?s=XOM&amp;a=0&amp;b=3&amp;c=2013&amp;d=8&amp;e=2&amp;f=2013&amp;g=&amp;q=q&amp;y=0&amp;z=XOM&amp;x=.csv" htmlTables="1" htmlFormat="all"/>
  </connection>
  <connection id="29" name="Connection34" type="4" refreshedVersion="0" background="1">
    <webPr url="http://ichart.yahoo.com/table.csv?s=XOM&amp;a=0&amp;b=3&amp;c=2013&amp;d=8&amp;e=2&amp;f=2013&amp;g=&amp;q=q&amp;y=0&amp;z=XOM&amp;x=.csv" htmlTables="1" htmlFormat="all"/>
  </connection>
  <connection id="30" name="Connection35" type="4" refreshedVersion="4" background="1" saveData="1">
    <webPr xl2000="1" url="http://ichart.finance.yahoo.com/table.csv?s=XOM&amp;a=0&amp;b=3&amp;c=2013&amp;d=8&amp;e=2&amp;f=2013&amp;g=&amp;q=q&amp;y=0&amp;z=XOM&amp;x=.csv" htmlFormat="all"/>
  </connection>
  <connection id="31" name="Connection36" type="4" refreshedVersion="4" background="1" saveData="1">
    <webPr xl2000="1" url="http://ichart.finance.yahoo.com/table.csv?s=XOM&amp;a=0&amp;b=3&amp;c=2013&amp;d=8&amp;e=2&amp;f=2013&amp;g=&amp;q=q&amp;y=0&amp;z=XOM&amp;x=.csv" htmlFormat="all"/>
  </connection>
  <connection id="32" name="Connection37" type="4" refreshedVersion="4" background="1" saveData="1">
    <webPr xl2000="1" url="http://ichart.finance.yahoo.com/table.csv?s=BP&amp;a=0&amp;b=3&amp;c=2013&amp;d=8&amp;e=2&amp;f=2013&amp;g=&amp;q=q&amp;y=0&amp;z=BP&amp;x=.csv" htmlFormat="all"/>
  </connection>
  <connection id="33" name="Connection38" type="4" refreshedVersion="4" background="1" saveData="1">
    <webPr xl2000="1" url="http://ichart.finance.yahoo.com/table.csv?s=BP&amp;a=0&amp;b=3&amp;c=2013&amp;d=8&amp;e=2&amp;f=2013&amp;g=&amp;q=q&amp;y=0&amp;z=BP&amp;x=.csv" htmlFormat="all"/>
  </connection>
  <connection id="34" name="Connection39" type="4" refreshedVersion="4" background="1" saveData="1">
    <webPr xl2000="1" url="http://ichart.finance.yahoo.com/table.csv?s=XOM&amp;a=0&amp;b=3&amp;c=2013&amp;d=8&amp;e=2&amp;f=2013&amp;g=&amp;q=q&amp;y=0&amp;z=XOM&amp;x=.csv" htmlFormat="all"/>
  </connection>
  <connection id="35" name="Connection4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36" name="Connection40" type="4" refreshedVersion="4" background="1" saveData="1">
    <webPr xl2000="1" url="http://ichart.finance.yahoo.com/table.csv?s=XOM&amp;a=0&amp;b=3&amp;c=2013&amp;d=8&amp;e=2&amp;f=2013&amp;g=&amp;q=q&amp;y=0&amp;z=XOM&amp;x=.csv" htmlFormat="all"/>
  </connection>
  <connection id="37" name="Connection41" type="4" refreshedVersion="4" background="1" saveData="1">
    <webPr xl2000="1" url="http://ichart.finance.yahoo.com/table.csv?s=XOM&amp;a=0&amp;b=3&amp;c=2013&amp;d=8&amp;e=2&amp;f=2013&amp;g=&amp;q=q&amp;y=0&amp;z=XOM&amp;x=.csv" htmlFormat="all"/>
  </connection>
  <connection id="38" name="Connection42" type="4" refreshedVersion="5" background="1" saveData="1">
    <webPr xl2000="1" url="http://ichart.finance.yahoo.com/table.csv?s=XOM&amp;a=0&amp;b=3&amp;c=2013&amp;d=8&amp;e=2&amp;f=2013&amp;g=&amp;q=q&amp;y=0&amp;z=XOM&amp;x=.csv" htmlFormat="all"/>
  </connection>
  <connection id="39" name="Connection43" type="4" refreshedVersion="5" background="1" saveData="1">
    <webPr xl2000="1" url="http://ichart.finance.yahoo.com/table.csv?s=XOM&amp;a=0&amp;b=3&amp;c=2013&amp;d=8&amp;e=2&amp;f=2013&amp;g=&amp;q=q&amp;y=0&amp;z=XOM&amp;x=.csv" htmlFormat="all"/>
  </connection>
  <connection id="40" name="Connection5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41" name="Connection6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42" name="Connection7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43" name="Connection8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44" name="Connection9" type="4" refreshedVersion="4" background="1" saveData="1">
    <webPr xl2000="1" url="http://ichart.yahoo.com/table.csv?s=XOM&amp;a=0&amp;b=3&amp;c=2013&amp;d=8&amp;e=2&amp;f=2013&amp;g=&amp;q=q&amp;y=0&amp;z=XOM&amp;x=.csv" htmlFormat="all"/>
  </connection>
</connections>
</file>

<file path=xl/sharedStrings.xml><?xml version="1.0" encoding="utf-8"?>
<sst xmlns="http://schemas.openxmlformats.org/spreadsheetml/2006/main" count="12" uniqueCount="8">
  <si>
    <t>Date</t>
  </si>
  <si>
    <t>Open</t>
  </si>
  <si>
    <t>High</t>
  </si>
  <si>
    <t>Low</t>
  </si>
  <si>
    <t>Close</t>
  </si>
  <si>
    <t>True Range</t>
  </si>
  <si>
    <t>Average True Range</t>
  </si>
  <si>
    <t>Yahoo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</si>
</sst>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E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4" connectionId="6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39" connectionId="3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37" connectionId="31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41" connectionId="36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10" connectionId="44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38" connectionId="32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ExternalData_28" connectionId="21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ExternalData_16" connectionId="8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ExternalData_19" connectionId="11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ExternalData_21" connectionId="14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ExternalData_22" connectionId="15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ExternalData_33" connectionId="27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ExternalData_29" connectionId="22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ExternalData_25" connectionId="18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ExternalData_5" connectionId="35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name="ExternalData_43" connectionId="38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name="ExternalData_11" connectionId="3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name="ExternalData_27" connectionId="20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name="ExternalData_32" connectionId="26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name="ExternalData_26" connectionId="19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name="ExternalData_3" connectionId="13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name="ExternalData_31" connectionId="25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name="ExternalData_4" connectionId="24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name="ExternalData_40" connectionId="34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name="ExternalData_36" connectionId="30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name="ExternalData_7" connectionId="41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name="ExternalData_6" connectionId="40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name="ExternalData_12" connectionId="4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name="ExternalData_23" connectionId="16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name="ExternalData_15" connectionId="7" autoFormatId="16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name="ExternalData_44" connectionId="39" autoFormatId="16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name="ExternalData_9" connectionId="43" autoFormatId="16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name="ExternalData_8" connectionId="42" autoFormatId="16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name="ExternalData_13" connectionId="5" autoFormatId="16" applyNumberFormats="0" applyBorderFormats="0" applyFontFormats="1" applyPatternFormats="1" applyAlignmentFormats="0" applyWidthHeightFormats="0"/>
</file>

<file path=xl/queryTables/queryTable37.xml><?xml version="1.0" encoding="utf-8"?>
<queryTable xmlns="http://schemas.openxmlformats.org/spreadsheetml/2006/main" name="ExternalData_42" connectionId="37" autoFormatId="16" applyNumberFormats="0" applyBorderFormats="0" applyFontFormats="1" applyPatternFormats="1" applyAlignmentFormats="0" applyWidthHeightFormats="0"/>
</file>

<file path=xl/queryTables/queryTable38.xml><?xml version="1.0" encoding="utf-8"?>
<queryTable xmlns="http://schemas.openxmlformats.org/spreadsheetml/2006/main" name="ExternalData_24" connectionId="17" autoFormatId="16" applyNumberFormats="0" applyBorderFormats="0" applyFontFormats="1" applyPatternFormats="1" applyAlignmentFormats="0" applyWidthHeightFormats="0"/>
</file>

<file path=xl/queryTables/queryTable39.xml><?xml version="1.0" encoding="utf-8"?>
<queryTable xmlns="http://schemas.openxmlformats.org/spreadsheetml/2006/main" name="ExternalData_30" connectionId="23" autoFormatId="16" applyNumberFormats="0" applyBorderFormats="0" applyFontFormats="1" applyPatternFormats="1" applyAlignmentFormats="0" applyWidthHeightFormats="0"/>
</file>

<file path=xl/queryTables/queryTable40.xml><?xml version="1.0" encoding="utf-8"?>
<queryTable xmlns="http://schemas.openxmlformats.org/spreadsheetml/2006/main" name="ExternalData_20" connectionId="12" autoFormatId="16" applyNumberFormats="0" applyBorderFormats="0" applyFontFormats="1" applyPatternFormats="1" applyAlignmentFormats="0" applyWidthHeightFormats="0"/>
</file>

<file path=xl/queryTables/queryTable41.xml><?xml version="1.0" encoding="utf-8"?>
<queryTable xmlns="http://schemas.openxmlformats.org/spreadsheetml/2006/main" name="ExternalData_18" connectionId="10" autoFormatId="16" applyNumberFormats="0" applyBorderFormats="0" applyFontFormats="1" applyPatternFormats="1" applyAlignmentFormats="0" applyWidthHeightFormats="0"/>
</file>

<file path=xl/queryTables/queryTable42.xml><?xml version="1.0" encoding="utf-8"?>
<queryTable xmlns="http://schemas.openxmlformats.org/spreadsheetml/2006/main" name="ExternalData_17" connectionId="9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13" Type="http://schemas.openxmlformats.org/officeDocument/2006/relationships/queryTable" Target="../queryTables/queryTable13.xml"/><Relationship Id="rId18" Type="http://schemas.openxmlformats.org/officeDocument/2006/relationships/queryTable" Target="../queryTables/queryTable18.xml"/><Relationship Id="rId26" Type="http://schemas.openxmlformats.org/officeDocument/2006/relationships/queryTable" Target="../queryTables/queryTable26.xml"/><Relationship Id="rId39" Type="http://schemas.openxmlformats.org/officeDocument/2006/relationships/queryTable" Target="../queryTables/queryTable39.xml"/><Relationship Id="rId3" Type="http://schemas.openxmlformats.org/officeDocument/2006/relationships/queryTable" Target="../queryTables/queryTable3.xml"/><Relationship Id="rId21" Type="http://schemas.openxmlformats.org/officeDocument/2006/relationships/queryTable" Target="../queryTables/queryTable21.xml"/><Relationship Id="rId34" Type="http://schemas.openxmlformats.org/officeDocument/2006/relationships/queryTable" Target="../queryTables/queryTable34.xml"/><Relationship Id="rId42" Type="http://schemas.openxmlformats.org/officeDocument/2006/relationships/queryTable" Target="../queryTables/queryTable42.xml"/><Relationship Id="rId7" Type="http://schemas.openxmlformats.org/officeDocument/2006/relationships/queryTable" Target="../queryTables/queryTable7.xml"/><Relationship Id="rId12" Type="http://schemas.openxmlformats.org/officeDocument/2006/relationships/queryTable" Target="../queryTables/queryTable12.xml"/><Relationship Id="rId17" Type="http://schemas.openxmlformats.org/officeDocument/2006/relationships/queryTable" Target="../queryTables/queryTable17.xml"/><Relationship Id="rId25" Type="http://schemas.openxmlformats.org/officeDocument/2006/relationships/queryTable" Target="../queryTables/queryTable25.xml"/><Relationship Id="rId33" Type="http://schemas.openxmlformats.org/officeDocument/2006/relationships/queryTable" Target="../queryTables/queryTable33.xml"/><Relationship Id="rId38" Type="http://schemas.openxmlformats.org/officeDocument/2006/relationships/queryTable" Target="../queryTables/queryTable38.xml"/><Relationship Id="rId2" Type="http://schemas.openxmlformats.org/officeDocument/2006/relationships/queryTable" Target="../queryTables/queryTable2.xml"/><Relationship Id="rId16" Type="http://schemas.openxmlformats.org/officeDocument/2006/relationships/queryTable" Target="../queryTables/queryTable16.xml"/><Relationship Id="rId20" Type="http://schemas.openxmlformats.org/officeDocument/2006/relationships/queryTable" Target="../queryTables/queryTable20.xml"/><Relationship Id="rId29" Type="http://schemas.openxmlformats.org/officeDocument/2006/relationships/queryTable" Target="../queryTables/queryTable29.xml"/><Relationship Id="rId41" Type="http://schemas.openxmlformats.org/officeDocument/2006/relationships/queryTable" Target="../queryTables/queryTable41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24" Type="http://schemas.openxmlformats.org/officeDocument/2006/relationships/queryTable" Target="../queryTables/queryTable24.xml"/><Relationship Id="rId32" Type="http://schemas.openxmlformats.org/officeDocument/2006/relationships/queryTable" Target="../queryTables/queryTable32.xml"/><Relationship Id="rId37" Type="http://schemas.openxmlformats.org/officeDocument/2006/relationships/queryTable" Target="../queryTables/queryTable37.xml"/><Relationship Id="rId40" Type="http://schemas.openxmlformats.org/officeDocument/2006/relationships/queryTable" Target="../queryTables/queryTable40.xml"/><Relationship Id="rId5" Type="http://schemas.openxmlformats.org/officeDocument/2006/relationships/queryTable" Target="../queryTables/queryTable5.xml"/><Relationship Id="rId15" Type="http://schemas.openxmlformats.org/officeDocument/2006/relationships/queryTable" Target="../queryTables/queryTable15.xml"/><Relationship Id="rId23" Type="http://schemas.openxmlformats.org/officeDocument/2006/relationships/queryTable" Target="../queryTables/queryTable23.xml"/><Relationship Id="rId28" Type="http://schemas.openxmlformats.org/officeDocument/2006/relationships/queryTable" Target="../queryTables/queryTable28.xml"/><Relationship Id="rId36" Type="http://schemas.openxmlformats.org/officeDocument/2006/relationships/queryTable" Target="../queryTables/queryTable36.xml"/><Relationship Id="rId10" Type="http://schemas.openxmlformats.org/officeDocument/2006/relationships/queryTable" Target="../queryTables/queryTable10.xml"/><Relationship Id="rId19" Type="http://schemas.openxmlformats.org/officeDocument/2006/relationships/queryTable" Target="../queryTables/queryTable19.xml"/><Relationship Id="rId31" Type="http://schemas.openxmlformats.org/officeDocument/2006/relationships/queryTable" Target="../queryTables/queryTable31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Relationship Id="rId22" Type="http://schemas.openxmlformats.org/officeDocument/2006/relationships/queryTable" Target="../queryTables/queryTable22.xml"/><Relationship Id="rId27" Type="http://schemas.openxmlformats.org/officeDocument/2006/relationships/queryTable" Target="../queryTables/queryTable27.xml"/><Relationship Id="rId30" Type="http://schemas.openxmlformats.org/officeDocument/2006/relationships/queryTable" Target="../queryTables/queryTable30.xml"/><Relationship Id="rId35" Type="http://schemas.openxmlformats.org/officeDocument/2006/relationships/queryTable" Target="../queryTables/query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70"/>
  <sheetViews>
    <sheetView tabSelected="1" workbookViewId="0">
      <selection activeCell="D1" sqref="D1"/>
    </sheetView>
  </sheetViews>
  <sheetFormatPr defaultRowHeight="12.75" x14ac:dyDescent="0.2"/>
  <cols>
    <col min="1" max="5" width="12.7109375" style="1" customWidth="1"/>
    <col min="7" max="7" width="17.85546875" bestFit="1" customWidth="1"/>
  </cols>
  <sheetData>
    <row r="1" spans="1:7" x14ac:dyDescent="0.2">
      <c r="A1" s="1" t="s">
        <v>7</v>
      </c>
      <c r="B1" s="1" t="s">
        <v>7</v>
      </c>
      <c r="C1" s="1" t="s">
        <v>7</v>
      </c>
      <c r="D1" s="1" t="s">
        <v>7</v>
      </c>
      <c r="E1" s="1" t="s">
        <v>7</v>
      </c>
    </row>
    <row r="2" spans="1: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t="s">
        <v>5</v>
      </c>
      <c r="G2" t="s">
        <v>6</v>
      </c>
    </row>
    <row r="3" spans="1:7" x14ac:dyDescent="0.2">
      <c r="A3" s="2">
        <v>43103</v>
      </c>
      <c r="B3" s="1">
        <v>88.46</v>
      </c>
      <c r="C3" s="1">
        <v>88.89</v>
      </c>
      <c r="D3" s="1">
        <v>88.16</v>
      </c>
      <c r="E3" s="1">
        <v>88.55</v>
      </c>
      <c r="F3">
        <f>ABS(C3-D3)</f>
        <v>0.73000000000000398</v>
      </c>
    </row>
    <row r="4" spans="1:7" x14ac:dyDescent="0.2">
      <c r="A4" s="2">
        <v>43104</v>
      </c>
      <c r="B4" s="1">
        <v>88.5</v>
      </c>
      <c r="C4" s="1">
        <v>89.09</v>
      </c>
      <c r="D4" s="1">
        <v>88.37</v>
      </c>
      <c r="E4" s="1">
        <v>88.96</v>
      </c>
      <c r="F4">
        <f t="shared" ref="F4:F35" si="0">MAX(ABS(D4-E3),ABS(C4-E3),ABS(C4-D4))</f>
        <v>0.71999999999999886</v>
      </c>
    </row>
    <row r="5" spans="1:7" x14ac:dyDescent="0.2">
      <c r="A5" s="2">
        <v>43105</v>
      </c>
      <c r="B5" s="1">
        <v>88.31</v>
      </c>
      <c r="C5" s="1">
        <v>88.49</v>
      </c>
      <c r="D5" s="1">
        <v>87.57</v>
      </c>
      <c r="E5" s="1">
        <v>87.93</v>
      </c>
      <c r="F5">
        <f t="shared" si="0"/>
        <v>1.3900000000000006</v>
      </c>
    </row>
    <row r="6" spans="1:7" x14ac:dyDescent="0.2">
      <c r="A6" s="2">
        <v>43106</v>
      </c>
      <c r="B6" s="1">
        <v>87.82</v>
      </c>
      <c r="C6" s="1">
        <v>88.48</v>
      </c>
      <c r="D6" s="1">
        <v>87.29</v>
      </c>
      <c r="E6" s="1">
        <v>88.48</v>
      </c>
      <c r="F6">
        <f t="shared" si="0"/>
        <v>1.1899999999999977</v>
      </c>
    </row>
    <row r="7" spans="1:7" x14ac:dyDescent="0.2">
      <c r="A7" s="2">
        <v>43107</v>
      </c>
      <c r="B7" s="1">
        <v>88.4</v>
      </c>
      <c r="C7" s="1">
        <v>88.54</v>
      </c>
      <c r="D7" s="1">
        <v>87.75</v>
      </c>
      <c r="E7" s="1">
        <v>88.14</v>
      </c>
      <c r="F7">
        <f t="shared" si="0"/>
        <v>0.79000000000000625</v>
      </c>
    </row>
    <row r="8" spans="1:7" x14ac:dyDescent="0.2">
      <c r="A8" s="2">
        <v>43108</v>
      </c>
      <c r="B8" s="1">
        <v>88.75</v>
      </c>
      <c r="C8" s="1">
        <v>89.48</v>
      </c>
      <c r="D8" s="1">
        <v>88.37</v>
      </c>
      <c r="E8" s="1">
        <v>89.1</v>
      </c>
      <c r="F8">
        <f t="shared" si="0"/>
        <v>1.3400000000000034</v>
      </c>
    </row>
    <row r="9" spans="1:7" x14ac:dyDescent="0.2">
      <c r="A9" s="2">
        <v>43109</v>
      </c>
      <c r="B9" s="1">
        <v>88.97</v>
      </c>
      <c r="C9" s="1">
        <v>89.71</v>
      </c>
      <c r="D9" s="1">
        <v>88.86</v>
      </c>
      <c r="E9" s="1">
        <v>89.61</v>
      </c>
      <c r="F9">
        <f t="shared" si="0"/>
        <v>0.84999999999999432</v>
      </c>
    </row>
    <row r="10" spans="1:7" x14ac:dyDescent="0.2">
      <c r="A10" s="2">
        <v>43110</v>
      </c>
      <c r="B10" s="1">
        <v>89.46</v>
      </c>
      <c r="C10" s="1">
        <v>89.75</v>
      </c>
      <c r="D10" s="1">
        <v>89.32</v>
      </c>
      <c r="E10" s="1">
        <v>89.58</v>
      </c>
      <c r="F10">
        <f t="shared" si="0"/>
        <v>0.43000000000000682</v>
      </c>
    </row>
    <row r="11" spans="1:7" x14ac:dyDescent="0.2">
      <c r="A11" s="2">
        <v>43111</v>
      </c>
      <c r="B11" s="1">
        <v>89.18</v>
      </c>
      <c r="C11" s="1">
        <v>89.61</v>
      </c>
      <c r="D11" s="1">
        <v>89</v>
      </c>
      <c r="E11" s="1">
        <v>89.53</v>
      </c>
      <c r="F11">
        <f t="shared" si="0"/>
        <v>0.60999999999999943</v>
      </c>
    </row>
    <row r="12" spans="1:7" x14ac:dyDescent="0.2">
      <c r="A12" s="2">
        <v>43112</v>
      </c>
      <c r="B12" s="1">
        <v>89.16</v>
      </c>
      <c r="C12" s="1">
        <v>89.48</v>
      </c>
      <c r="D12" s="1">
        <v>89.07</v>
      </c>
      <c r="E12" s="1">
        <v>89.47</v>
      </c>
      <c r="F12">
        <f t="shared" si="0"/>
        <v>0.46000000000000796</v>
      </c>
    </row>
    <row r="13" spans="1:7" x14ac:dyDescent="0.2">
      <c r="A13" s="2">
        <v>43113</v>
      </c>
      <c r="B13" s="1">
        <v>89.76</v>
      </c>
      <c r="C13" s="1">
        <v>90.94</v>
      </c>
      <c r="D13" s="1">
        <v>89.6</v>
      </c>
      <c r="E13" s="1">
        <v>90.2</v>
      </c>
      <c r="F13">
        <f t="shared" si="0"/>
        <v>1.4699999999999989</v>
      </c>
    </row>
    <row r="14" spans="1:7" x14ac:dyDescent="0.2">
      <c r="A14" s="2">
        <v>43114</v>
      </c>
      <c r="B14" s="1">
        <v>90.09</v>
      </c>
      <c r="C14" s="1">
        <v>90.83</v>
      </c>
      <c r="D14" s="1">
        <v>89.83</v>
      </c>
      <c r="E14" s="1">
        <v>90.8</v>
      </c>
      <c r="F14">
        <f t="shared" si="0"/>
        <v>1</v>
      </c>
    </row>
    <row r="15" spans="1:7" x14ac:dyDescent="0.2">
      <c r="A15" s="2">
        <v>43115</v>
      </c>
      <c r="B15" s="1">
        <v>90.27</v>
      </c>
      <c r="C15" s="1">
        <v>90.94</v>
      </c>
      <c r="D15" s="1">
        <v>90.21</v>
      </c>
      <c r="E15" s="1">
        <v>90.92</v>
      </c>
      <c r="F15">
        <f t="shared" si="0"/>
        <v>0.73000000000000398</v>
      </c>
    </row>
    <row r="16" spans="1:7" x14ac:dyDescent="0.2">
      <c r="A16" s="2">
        <v>43116</v>
      </c>
      <c r="B16" s="1">
        <v>90.5</v>
      </c>
      <c r="C16" s="1">
        <v>90.88</v>
      </c>
      <c r="D16" s="1">
        <v>90.42</v>
      </c>
      <c r="E16" s="1">
        <v>90.7</v>
      </c>
      <c r="F16">
        <f t="shared" si="0"/>
        <v>0.5</v>
      </c>
      <c r="G16">
        <f>AVERAGE(F3:F16)</f>
        <v>0.87214285714285877</v>
      </c>
    </row>
    <row r="17" spans="1:7" x14ac:dyDescent="0.2">
      <c r="A17" s="2">
        <v>43117</v>
      </c>
      <c r="B17" s="1">
        <v>90.88</v>
      </c>
      <c r="C17" s="1">
        <v>91.72</v>
      </c>
      <c r="D17" s="1">
        <v>90.75</v>
      </c>
      <c r="E17" s="1">
        <v>91.35</v>
      </c>
      <c r="F17">
        <f t="shared" si="0"/>
        <v>1.019999999999996</v>
      </c>
      <c r="G17">
        <f t="shared" ref="G17:G48" si="1">(G16*13+F17)/14</f>
        <v>0.88270408163265424</v>
      </c>
    </row>
    <row r="18" spans="1:7" x14ac:dyDescent="0.2">
      <c r="A18" s="2">
        <v>43118</v>
      </c>
      <c r="B18" s="1">
        <v>91.57</v>
      </c>
      <c r="C18" s="1">
        <v>91.8</v>
      </c>
      <c r="D18" s="1">
        <v>91.13</v>
      </c>
      <c r="E18" s="1">
        <v>91.73</v>
      </c>
      <c r="F18">
        <f t="shared" si="0"/>
        <v>0.67000000000000171</v>
      </c>
      <c r="G18">
        <f t="shared" si="1"/>
        <v>0.86751093294460768</v>
      </c>
    </row>
    <row r="19" spans="1:7" x14ac:dyDescent="0.2">
      <c r="A19" s="2">
        <v>43119</v>
      </c>
      <c r="B19" s="1">
        <v>91.67</v>
      </c>
      <c r="C19" s="1">
        <v>91.67</v>
      </c>
      <c r="D19" s="1">
        <v>90.77</v>
      </c>
      <c r="E19" s="1">
        <v>91.11</v>
      </c>
      <c r="F19">
        <f t="shared" si="0"/>
        <v>0.96000000000000796</v>
      </c>
      <c r="G19">
        <f t="shared" si="1"/>
        <v>0.8741172948771363</v>
      </c>
    </row>
    <row r="20" spans="1:7" x14ac:dyDescent="0.2">
      <c r="A20" s="2">
        <v>43120</v>
      </c>
      <c r="B20" s="1">
        <v>91.21</v>
      </c>
      <c r="C20" s="1">
        <v>91.93</v>
      </c>
      <c r="D20" s="1">
        <v>91.2</v>
      </c>
      <c r="E20" s="1">
        <v>91.76</v>
      </c>
      <c r="F20">
        <f t="shared" si="0"/>
        <v>0.82000000000000739</v>
      </c>
      <c r="G20">
        <f t="shared" si="1"/>
        <v>0.87025177381448426</v>
      </c>
    </row>
    <row r="21" spans="1:7" x14ac:dyDescent="0.2">
      <c r="A21" s="2">
        <v>43121</v>
      </c>
      <c r="B21" s="1">
        <v>91.17</v>
      </c>
      <c r="C21" s="1">
        <v>91.72</v>
      </c>
      <c r="D21" s="1">
        <v>90.38</v>
      </c>
      <c r="E21" s="1">
        <v>90.67</v>
      </c>
      <c r="F21">
        <f t="shared" si="0"/>
        <v>1.3800000000000097</v>
      </c>
      <c r="G21">
        <f t="shared" si="1"/>
        <v>0.90666236139916467</v>
      </c>
    </row>
    <row r="22" spans="1:7" x14ac:dyDescent="0.2">
      <c r="A22" s="2">
        <v>43122</v>
      </c>
      <c r="B22" s="1">
        <v>90.69</v>
      </c>
      <c r="C22" s="1">
        <v>91.21</v>
      </c>
      <c r="D22" s="1">
        <v>89.74</v>
      </c>
      <c r="E22" s="1">
        <v>89.97</v>
      </c>
      <c r="F22">
        <f t="shared" si="0"/>
        <v>1.4699999999999989</v>
      </c>
      <c r="G22">
        <f t="shared" si="1"/>
        <v>0.94690076415636704</v>
      </c>
    </row>
    <row r="23" spans="1:7" x14ac:dyDescent="0.2">
      <c r="A23" s="2">
        <v>43123</v>
      </c>
      <c r="B23" s="1">
        <v>90.44</v>
      </c>
      <c r="C23" s="1">
        <v>90.5</v>
      </c>
      <c r="D23" s="1">
        <v>89.36</v>
      </c>
      <c r="E23" s="1">
        <v>90.04</v>
      </c>
      <c r="F23">
        <f t="shared" si="0"/>
        <v>1.1400000000000006</v>
      </c>
      <c r="G23">
        <f t="shared" si="1"/>
        <v>0.96069356671662653</v>
      </c>
    </row>
    <row r="24" spans="1:7" x14ac:dyDescent="0.2">
      <c r="A24" s="2">
        <v>43124</v>
      </c>
      <c r="B24" s="1">
        <v>89.41</v>
      </c>
      <c r="C24" s="1">
        <v>89.62</v>
      </c>
      <c r="D24" s="1">
        <v>88.84</v>
      </c>
      <c r="E24" s="1">
        <v>89.15</v>
      </c>
      <c r="F24">
        <f t="shared" si="0"/>
        <v>1.2000000000000028</v>
      </c>
      <c r="G24">
        <f t="shared" si="1"/>
        <v>0.97778688337972486</v>
      </c>
    </row>
    <row r="25" spans="1:7" x14ac:dyDescent="0.2">
      <c r="A25" s="2">
        <v>43125</v>
      </c>
      <c r="B25" s="1">
        <v>89.88</v>
      </c>
      <c r="C25" s="1">
        <v>90.19</v>
      </c>
      <c r="D25" s="1">
        <v>89.42</v>
      </c>
      <c r="E25" s="1">
        <v>89.74</v>
      </c>
      <c r="F25">
        <f t="shared" si="0"/>
        <v>1.039999999999992</v>
      </c>
      <c r="G25">
        <f t="shared" si="1"/>
        <v>0.98223067742402959</v>
      </c>
    </row>
    <row r="26" spans="1:7" x14ac:dyDescent="0.2">
      <c r="A26" s="2">
        <v>43126</v>
      </c>
      <c r="B26" s="1">
        <v>89.37</v>
      </c>
      <c r="C26" s="1">
        <v>89.89</v>
      </c>
      <c r="D26" s="1">
        <v>89.16</v>
      </c>
      <c r="E26" s="1">
        <v>89.79</v>
      </c>
      <c r="F26">
        <f t="shared" si="0"/>
        <v>0.73000000000000398</v>
      </c>
      <c r="G26">
        <f t="shared" si="1"/>
        <v>0.96421420046517059</v>
      </c>
    </row>
    <row r="27" spans="1:7" x14ac:dyDescent="0.2">
      <c r="A27" s="2">
        <v>43127</v>
      </c>
      <c r="B27" s="1">
        <v>89.21</v>
      </c>
      <c r="C27" s="1">
        <v>89.22</v>
      </c>
      <c r="D27" s="1">
        <v>87.61</v>
      </c>
      <c r="E27" s="1">
        <v>88.25</v>
      </c>
      <c r="F27">
        <f t="shared" si="0"/>
        <v>2.1800000000000068</v>
      </c>
      <c r="G27">
        <f t="shared" si="1"/>
        <v>1.0510560432890874</v>
      </c>
    </row>
    <row r="28" spans="1:7" x14ac:dyDescent="0.2">
      <c r="A28" s="2">
        <v>43128</v>
      </c>
      <c r="B28" s="1">
        <v>88.5</v>
      </c>
      <c r="C28" s="1">
        <v>88.8</v>
      </c>
      <c r="D28" s="1">
        <v>88.11</v>
      </c>
      <c r="E28" s="1">
        <v>88.61</v>
      </c>
      <c r="F28">
        <f t="shared" si="0"/>
        <v>0.68999999999999773</v>
      </c>
      <c r="G28">
        <f t="shared" si="1"/>
        <v>1.0252663259112953</v>
      </c>
    </row>
    <row r="29" spans="1:7" x14ac:dyDescent="0.2">
      <c r="A29" s="2">
        <v>43129</v>
      </c>
      <c r="B29" s="1">
        <v>88.35</v>
      </c>
      <c r="C29" s="1">
        <v>88.51</v>
      </c>
      <c r="D29" s="1">
        <v>87.97</v>
      </c>
      <c r="E29" s="1">
        <v>88.28</v>
      </c>
      <c r="F29">
        <f t="shared" si="0"/>
        <v>0.64000000000000057</v>
      </c>
      <c r="G29">
        <f t="shared" si="1"/>
        <v>0.99774730263191713</v>
      </c>
    </row>
    <row r="30" spans="1:7" x14ac:dyDescent="0.2">
      <c r="A30" s="2">
        <v>43130</v>
      </c>
      <c r="B30" s="1">
        <v>88.25</v>
      </c>
      <c r="C30" s="1">
        <v>88.62</v>
      </c>
      <c r="D30" s="1">
        <v>87.92</v>
      </c>
      <c r="E30" s="1">
        <v>88.46</v>
      </c>
      <c r="F30">
        <f t="shared" si="0"/>
        <v>0.70000000000000284</v>
      </c>
      <c r="G30">
        <f t="shared" si="1"/>
        <v>0.97647963815820904</v>
      </c>
    </row>
    <row r="31" spans="1:7" x14ac:dyDescent="0.2">
      <c r="A31" s="2">
        <v>43131</v>
      </c>
      <c r="B31" s="1">
        <v>88.46</v>
      </c>
      <c r="C31" s="1">
        <v>88.77</v>
      </c>
      <c r="D31" s="1">
        <v>88.24</v>
      </c>
      <c r="E31" s="1">
        <v>88.67</v>
      </c>
      <c r="F31">
        <f t="shared" si="0"/>
        <v>0.53000000000000114</v>
      </c>
      <c r="G31">
        <f t="shared" si="1"/>
        <v>0.94458823543262282</v>
      </c>
    </row>
    <row r="32" spans="1:7" x14ac:dyDescent="0.2">
      <c r="A32" s="2">
        <v>43132</v>
      </c>
      <c r="B32" s="1">
        <v>88.34</v>
      </c>
      <c r="C32" s="1">
        <v>88.81</v>
      </c>
      <c r="D32" s="1">
        <v>88.06</v>
      </c>
      <c r="E32" s="1">
        <v>88.52</v>
      </c>
      <c r="F32">
        <f t="shared" si="0"/>
        <v>0.75</v>
      </c>
      <c r="G32">
        <f t="shared" si="1"/>
        <v>0.93068907575886406</v>
      </c>
    </row>
    <row r="33" spans="1:7" x14ac:dyDescent="0.2">
      <c r="A33" s="2">
        <v>43133</v>
      </c>
      <c r="B33" s="1">
        <v>88.57</v>
      </c>
      <c r="C33" s="1">
        <v>88.61</v>
      </c>
      <c r="D33" s="1">
        <v>87.8</v>
      </c>
      <c r="E33" s="1">
        <v>88.36</v>
      </c>
      <c r="F33">
        <f t="shared" si="0"/>
        <v>0.81000000000000227</v>
      </c>
      <c r="G33">
        <f t="shared" si="1"/>
        <v>0.92206842749037399</v>
      </c>
    </row>
    <row r="34" spans="1:7" x14ac:dyDescent="0.2">
      <c r="A34" s="2">
        <v>43134</v>
      </c>
      <c r="B34" s="1">
        <v>88.54</v>
      </c>
      <c r="C34" s="1">
        <v>89.41</v>
      </c>
      <c r="D34" s="1">
        <v>88.38</v>
      </c>
      <c r="E34" s="1">
        <v>89.32</v>
      </c>
      <c r="F34">
        <f t="shared" si="0"/>
        <v>1.0499999999999972</v>
      </c>
      <c r="G34">
        <f t="shared" si="1"/>
        <v>0.93120639695534713</v>
      </c>
    </row>
    <row r="35" spans="1:7" x14ac:dyDescent="0.2">
      <c r="A35" s="2">
        <v>43135</v>
      </c>
      <c r="B35" s="1">
        <v>89.14</v>
      </c>
      <c r="C35" s="1">
        <v>89.82</v>
      </c>
      <c r="D35" s="1">
        <v>88.9</v>
      </c>
      <c r="E35" s="1">
        <v>88.97</v>
      </c>
      <c r="F35">
        <f t="shared" si="0"/>
        <v>0.91999999999998749</v>
      </c>
      <c r="G35">
        <f t="shared" si="1"/>
        <v>0.93040594002996435</v>
      </c>
    </row>
    <row r="36" spans="1:7" x14ac:dyDescent="0.2">
      <c r="A36" s="2">
        <v>43136</v>
      </c>
      <c r="B36" s="1">
        <v>88.79</v>
      </c>
      <c r="C36" s="1">
        <v>89.02</v>
      </c>
      <c r="D36" s="1">
        <v>88.36</v>
      </c>
      <c r="E36" s="1">
        <v>88.59</v>
      </c>
      <c r="F36">
        <f t="shared" ref="F36:F67" si="2">MAX(ABS(D36-E35),ABS(C36-E35),ABS(C36-D36))</f>
        <v>0.65999999999999659</v>
      </c>
      <c r="G36">
        <f t="shared" si="1"/>
        <v>0.91109123002782388</v>
      </c>
    </row>
    <row r="37" spans="1:7" x14ac:dyDescent="0.2">
      <c r="A37" s="2">
        <v>43137</v>
      </c>
      <c r="B37" s="1">
        <v>89.02</v>
      </c>
      <c r="C37" s="1">
        <v>89.28</v>
      </c>
      <c r="D37" s="1">
        <v>88.4</v>
      </c>
      <c r="E37" s="1">
        <v>89.2</v>
      </c>
      <c r="F37">
        <f t="shared" si="2"/>
        <v>0.87999999999999545</v>
      </c>
      <c r="G37">
        <f t="shared" si="1"/>
        <v>0.908870427882979</v>
      </c>
    </row>
    <row r="38" spans="1:7" x14ac:dyDescent="0.2">
      <c r="A38" s="2">
        <v>43138</v>
      </c>
      <c r="B38" s="1">
        <v>89.88</v>
      </c>
      <c r="C38" s="1">
        <v>90.19</v>
      </c>
      <c r="D38" s="1">
        <v>87.7</v>
      </c>
      <c r="E38" s="1">
        <v>87.7</v>
      </c>
      <c r="F38">
        <f t="shared" si="2"/>
        <v>2.4899999999999949</v>
      </c>
      <c r="G38">
        <f t="shared" si="1"/>
        <v>1.0218082544627658</v>
      </c>
    </row>
    <row r="39" spans="1:7" x14ac:dyDescent="0.2">
      <c r="A39" s="2">
        <v>43139</v>
      </c>
      <c r="B39" s="1">
        <v>88.5</v>
      </c>
      <c r="C39" s="1">
        <v>88.98</v>
      </c>
      <c r="D39" s="1">
        <v>87.76</v>
      </c>
      <c r="E39" s="1">
        <v>88.51</v>
      </c>
      <c r="F39">
        <f t="shared" si="2"/>
        <v>1.2800000000000011</v>
      </c>
      <c r="G39">
        <f t="shared" si="1"/>
        <v>1.0402505220011398</v>
      </c>
    </row>
    <row r="40" spans="1:7" x14ac:dyDescent="0.2">
      <c r="A40" s="2">
        <v>43140</v>
      </c>
      <c r="B40" s="1">
        <v>88.5</v>
      </c>
      <c r="C40" s="1">
        <v>89.65</v>
      </c>
      <c r="D40" s="1">
        <v>88.31</v>
      </c>
      <c r="E40" s="1">
        <v>89.53</v>
      </c>
      <c r="F40">
        <f t="shared" si="2"/>
        <v>1.3400000000000034</v>
      </c>
      <c r="G40">
        <f t="shared" si="1"/>
        <v>1.0616611990010587</v>
      </c>
    </row>
    <row r="41" spans="1:7" x14ac:dyDescent="0.2">
      <c r="A41" s="2">
        <v>43141</v>
      </c>
      <c r="B41" s="1">
        <v>89.67</v>
      </c>
      <c r="C41" s="1">
        <v>89.81</v>
      </c>
      <c r="D41" s="1">
        <v>89.03</v>
      </c>
      <c r="E41" s="1">
        <v>89.55</v>
      </c>
      <c r="F41">
        <f t="shared" si="2"/>
        <v>0.78000000000000114</v>
      </c>
      <c r="G41">
        <f t="shared" si="1"/>
        <v>1.0415425419295545</v>
      </c>
    </row>
    <row r="42" spans="1:7" x14ac:dyDescent="0.2">
      <c r="A42" s="2">
        <v>43142</v>
      </c>
      <c r="B42" s="1">
        <v>89.07</v>
      </c>
      <c r="C42" s="1">
        <v>89.68</v>
      </c>
      <c r="D42" s="1">
        <v>88.92</v>
      </c>
      <c r="E42" s="1">
        <v>89.43</v>
      </c>
      <c r="F42">
        <f t="shared" si="2"/>
        <v>0.76000000000000512</v>
      </c>
      <c r="G42">
        <f t="shared" si="1"/>
        <v>1.0214323603631581</v>
      </c>
    </row>
    <row r="43" spans="1:7" x14ac:dyDescent="0.2">
      <c r="A43" s="2">
        <v>43143</v>
      </c>
      <c r="B43" s="1">
        <v>89.13</v>
      </c>
      <c r="C43" s="1">
        <v>89.25</v>
      </c>
      <c r="D43" s="1">
        <v>88.46</v>
      </c>
      <c r="E43" s="1">
        <v>88.95</v>
      </c>
      <c r="F43">
        <f t="shared" si="2"/>
        <v>0.97000000000001307</v>
      </c>
      <c r="G43">
        <f t="shared" si="1"/>
        <v>1.0177586203372191</v>
      </c>
    </row>
    <row r="44" spans="1:7" x14ac:dyDescent="0.2">
      <c r="A44" s="2">
        <v>43144</v>
      </c>
      <c r="B44" s="1">
        <v>89.48</v>
      </c>
      <c r="C44" s="1">
        <v>90.15</v>
      </c>
      <c r="D44" s="1">
        <v>89.29</v>
      </c>
      <c r="E44" s="1">
        <v>89.61</v>
      </c>
      <c r="F44">
        <f t="shared" si="2"/>
        <v>1.2000000000000028</v>
      </c>
      <c r="G44">
        <f t="shared" si="1"/>
        <v>1.0307758617417035</v>
      </c>
    </row>
    <row r="45" spans="1:7" x14ac:dyDescent="0.2">
      <c r="A45" s="2">
        <v>43145</v>
      </c>
      <c r="B45" s="1">
        <v>89.6</v>
      </c>
      <c r="C45" s="1">
        <v>89.95</v>
      </c>
      <c r="D45" s="1">
        <v>89.05</v>
      </c>
      <c r="E45" s="1">
        <v>89.56</v>
      </c>
      <c r="F45">
        <f t="shared" si="2"/>
        <v>0.90000000000000568</v>
      </c>
      <c r="G45">
        <f t="shared" si="1"/>
        <v>1.0214347287601537</v>
      </c>
    </row>
    <row r="46" spans="1:7" x14ac:dyDescent="0.2">
      <c r="A46" s="2">
        <v>43146</v>
      </c>
      <c r="B46" s="1">
        <v>89.63</v>
      </c>
      <c r="C46" s="1">
        <v>89.76</v>
      </c>
      <c r="D46" s="1">
        <v>88.68</v>
      </c>
      <c r="E46" s="1">
        <v>88.71</v>
      </c>
      <c r="F46">
        <f t="shared" si="2"/>
        <v>1.0799999999999983</v>
      </c>
      <c r="G46">
        <f t="shared" si="1"/>
        <v>1.0256179624201427</v>
      </c>
    </row>
    <row r="47" spans="1:7" x14ac:dyDescent="0.2">
      <c r="A47" s="2">
        <v>43147</v>
      </c>
      <c r="B47" s="1">
        <v>89.01</v>
      </c>
      <c r="C47" s="1">
        <v>89.23</v>
      </c>
      <c r="D47" s="1">
        <v>88.35</v>
      </c>
      <c r="E47" s="1">
        <v>88.97</v>
      </c>
      <c r="F47">
        <f t="shared" si="2"/>
        <v>0.88000000000000966</v>
      </c>
      <c r="G47">
        <f t="shared" si="1"/>
        <v>1.0152166793901332</v>
      </c>
    </row>
    <row r="48" spans="1:7" x14ac:dyDescent="0.2">
      <c r="A48" s="2">
        <v>43148</v>
      </c>
      <c r="B48" s="1">
        <v>89.01</v>
      </c>
      <c r="C48" s="1">
        <v>89.55</v>
      </c>
      <c r="D48" s="1">
        <v>88.54</v>
      </c>
      <c r="E48" s="1">
        <v>89.16</v>
      </c>
      <c r="F48">
        <f t="shared" si="2"/>
        <v>1.0099999999999909</v>
      </c>
      <c r="G48">
        <f t="shared" si="1"/>
        <v>1.0148440594336943</v>
      </c>
    </row>
    <row r="49" spans="1:7" x14ac:dyDescent="0.2">
      <c r="A49" s="2">
        <v>43149</v>
      </c>
      <c r="B49" s="1">
        <v>89.45</v>
      </c>
      <c r="C49" s="1">
        <v>89.91</v>
      </c>
      <c r="D49" s="1">
        <v>89.01</v>
      </c>
      <c r="E49" s="1">
        <v>89.16</v>
      </c>
      <c r="F49">
        <f t="shared" si="2"/>
        <v>0.89999999999999147</v>
      </c>
      <c r="G49">
        <f t="shared" ref="G49:G80" si="3">(G48*13+F49)/14</f>
        <v>1.0066409123312869</v>
      </c>
    </row>
    <row r="50" spans="1:7" x14ac:dyDescent="0.2">
      <c r="A50" s="2">
        <v>43150</v>
      </c>
      <c r="B50" s="1">
        <v>89.02</v>
      </c>
      <c r="C50" s="1">
        <v>89.5</v>
      </c>
      <c r="D50" s="1">
        <v>88.83</v>
      </c>
      <c r="E50" s="1">
        <v>89.26</v>
      </c>
      <c r="F50">
        <f t="shared" si="2"/>
        <v>0.67000000000000171</v>
      </c>
      <c r="G50">
        <f t="shared" si="3"/>
        <v>0.98259513287905231</v>
      </c>
    </row>
    <row r="51" spans="1:7" x14ac:dyDescent="0.2">
      <c r="A51" s="2">
        <v>43151</v>
      </c>
      <c r="B51" s="1">
        <v>89.41</v>
      </c>
      <c r="C51" s="1">
        <v>89.91</v>
      </c>
      <c r="D51" s="1">
        <v>89.41</v>
      </c>
      <c r="E51" s="1">
        <v>89.83</v>
      </c>
      <c r="F51">
        <f t="shared" si="2"/>
        <v>0.64999999999999147</v>
      </c>
      <c r="G51">
        <f t="shared" si="3"/>
        <v>0.95883833767340509</v>
      </c>
    </row>
    <row r="52" spans="1:7" x14ac:dyDescent="0.2">
      <c r="A52" s="2">
        <v>43152</v>
      </c>
      <c r="B52" s="1">
        <v>89.2</v>
      </c>
      <c r="C52" s="1">
        <v>89.61</v>
      </c>
      <c r="D52" s="1">
        <v>88.79</v>
      </c>
      <c r="E52" s="1">
        <v>89.37</v>
      </c>
      <c r="F52">
        <f t="shared" si="2"/>
        <v>1.039999999999992</v>
      </c>
      <c r="G52">
        <f t="shared" si="3"/>
        <v>0.96463559926816134</v>
      </c>
    </row>
    <row r="53" spans="1:7" x14ac:dyDescent="0.2">
      <c r="A53" s="2">
        <v>43153</v>
      </c>
      <c r="B53" s="1">
        <v>88.74</v>
      </c>
      <c r="C53" s="1">
        <v>89.39</v>
      </c>
      <c r="D53" s="1">
        <v>88.55</v>
      </c>
      <c r="E53" s="1">
        <v>88.77</v>
      </c>
      <c r="F53">
        <f t="shared" si="2"/>
        <v>0.84000000000000341</v>
      </c>
      <c r="G53">
        <f t="shared" si="3"/>
        <v>0.95573305646329298</v>
      </c>
    </row>
    <row r="54" spans="1:7" x14ac:dyDescent="0.2">
      <c r="A54" s="2">
        <v>43154</v>
      </c>
      <c r="B54" s="1">
        <v>88.89</v>
      </c>
      <c r="C54" s="1">
        <v>89.09</v>
      </c>
      <c r="D54" s="1">
        <v>88.02</v>
      </c>
      <c r="E54" s="1">
        <v>88.58</v>
      </c>
      <c r="F54">
        <f t="shared" si="2"/>
        <v>1.0700000000000074</v>
      </c>
      <c r="G54">
        <f t="shared" si="3"/>
        <v>0.96389498100162974</v>
      </c>
    </row>
    <row r="55" spans="1:7" x14ac:dyDescent="0.2">
      <c r="A55" s="2">
        <v>43155</v>
      </c>
      <c r="B55" s="1">
        <v>88.95</v>
      </c>
      <c r="C55" s="1">
        <v>89.21</v>
      </c>
      <c r="D55" s="1">
        <v>88.3</v>
      </c>
      <c r="E55" s="1">
        <v>88.63</v>
      </c>
      <c r="F55">
        <f t="shared" si="2"/>
        <v>0.90999999999999659</v>
      </c>
      <c r="G55">
        <f t="shared" si="3"/>
        <v>0.96004533950151305</v>
      </c>
    </row>
    <row r="56" spans="1:7" x14ac:dyDescent="0.2">
      <c r="A56" s="2">
        <v>43156</v>
      </c>
      <c r="B56" s="1">
        <v>88.12</v>
      </c>
      <c r="C56" s="1">
        <v>88.64</v>
      </c>
      <c r="D56" s="1">
        <v>87.9</v>
      </c>
      <c r="E56" s="1">
        <v>88.17</v>
      </c>
      <c r="F56">
        <f t="shared" si="2"/>
        <v>0.73999999999999488</v>
      </c>
      <c r="G56">
        <f t="shared" si="3"/>
        <v>0.94432781525140463</v>
      </c>
    </row>
    <row r="57" spans="1:7" x14ac:dyDescent="0.2">
      <c r="A57" s="2">
        <v>43157</v>
      </c>
      <c r="B57" s="1">
        <v>88.4</v>
      </c>
      <c r="C57" s="1">
        <v>89.29</v>
      </c>
      <c r="D57" s="1">
        <v>88.32</v>
      </c>
      <c r="E57" s="1">
        <v>89.29</v>
      </c>
      <c r="F57">
        <f t="shared" si="2"/>
        <v>1.1200000000000045</v>
      </c>
      <c r="G57">
        <f t="shared" si="3"/>
        <v>0.95687582844773311</v>
      </c>
    </row>
    <row r="58" spans="1:7" x14ac:dyDescent="0.2">
      <c r="A58" s="2">
        <v>43158</v>
      </c>
      <c r="B58" s="1">
        <v>89.5</v>
      </c>
      <c r="C58" s="1">
        <v>89.9</v>
      </c>
      <c r="D58" s="1">
        <v>88.66</v>
      </c>
      <c r="E58" s="1">
        <v>89.02</v>
      </c>
      <c r="F58">
        <f t="shared" si="2"/>
        <v>1.2400000000000091</v>
      </c>
      <c r="G58">
        <f t="shared" si="3"/>
        <v>0.97709898355861002</v>
      </c>
    </row>
    <row r="59" spans="1:7" x14ac:dyDescent="0.2">
      <c r="A59" s="2">
        <v>43159</v>
      </c>
      <c r="B59" s="1">
        <v>89.41</v>
      </c>
      <c r="C59" s="1">
        <v>90.3</v>
      </c>
      <c r="D59" s="1">
        <v>89.36</v>
      </c>
      <c r="E59" s="1">
        <v>90.13</v>
      </c>
      <c r="F59">
        <f t="shared" si="2"/>
        <v>1.2800000000000011</v>
      </c>
      <c r="G59">
        <f t="shared" si="3"/>
        <v>0.99873477044728087</v>
      </c>
    </row>
    <row r="60" spans="1:7" x14ac:dyDescent="0.2">
      <c r="A60" s="2">
        <v>43160</v>
      </c>
      <c r="B60" s="1">
        <v>89.56</v>
      </c>
      <c r="C60" s="1">
        <v>90.74</v>
      </c>
      <c r="D60" s="1">
        <v>89.47</v>
      </c>
      <c r="E60" s="1">
        <v>90.58</v>
      </c>
      <c r="F60">
        <f t="shared" si="2"/>
        <v>1.269999999999996</v>
      </c>
      <c r="G60">
        <f t="shared" si="3"/>
        <v>1.0181108582724749</v>
      </c>
    </row>
    <row r="61" spans="1:7" x14ac:dyDescent="0.2">
      <c r="A61" s="2">
        <v>43161</v>
      </c>
      <c r="B61" s="1">
        <v>90.64</v>
      </c>
      <c r="C61" s="1">
        <v>90.98</v>
      </c>
      <c r="D61" s="1">
        <v>89.99</v>
      </c>
      <c r="E61" s="1">
        <v>90.11</v>
      </c>
      <c r="F61">
        <f t="shared" si="2"/>
        <v>0.99000000000000909</v>
      </c>
      <c r="G61">
        <f t="shared" si="3"/>
        <v>1.0161029398244417</v>
      </c>
    </row>
    <row r="62" spans="1:7" x14ac:dyDescent="0.2">
      <c r="A62" s="2">
        <v>43162</v>
      </c>
      <c r="B62" s="1">
        <v>90.13</v>
      </c>
      <c r="C62" s="1">
        <v>90.99</v>
      </c>
      <c r="D62" s="1">
        <v>89.98</v>
      </c>
      <c r="E62" s="1">
        <v>90.77</v>
      </c>
      <c r="F62">
        <f t="shared" si="2"/>
        <v>1.0099999999999909</v>
      </c>
      <c r="G62">
        <f t="shared" si="3"/>
        <v>1.0156670155512666</v>
      </c>
    </row>
    <row r="63" spans="1:7" x14ac:dyDescent="0.2">
      <c r="A63" s="2">
        <v>43163</v>
      </c>
      <c r="B63" s="1">
        <v>90.59</v>
      </c>
      <c r="C63" s="1">
        <v>90.92</v>
      </c>
      <c r="D63" s="1">
        <v>90.28</v>
      </c>
      <c r="E63" s="1">
        <v>90.58</v>
      </c>
      <c r="F63">
        <f t="shared" si="2"/>
        <v>0.64000000000000057</v>
      </c>
      <c r="G63">
        <f t="shared" si="3"/>
        <v>0.98883365729760464</v>
      </c>
    </row>
    <row r="64" spans="1:7" x14ac:dyDescent="0.2">
      <c r="A64" s="2">
        <v>43164</v>
      </c>
      <c r="B64" s="1">
        <v>90.65</v>
      </c>
      <c r="C64" s="1">
        <v>90.83</v>
      </c>
      <c r="D64" s="1">
        <v>89.86</v>
      </c>
      <c r="E64" s="1">
        <v>89.93</v>
      </c>
      <c r="F64">
        <f t="shared" si="2"/>
        <v>0.96999999999999886</v>
      </c>
      <c r="G64">
        <f t="shared" si="3"/>
        <v>0.9874883960620614</v>
      </c>
    </row>
    <row r="65" spans="1:7" x14ac:dyDescent="0.2">
      <c r="A65" s="2">
        <v>43165</v>
      </c>
      <c r="B65" s="1">
        <v>90.1</v>
      </c>
      <c r="C65" s="1">
        <v>90.33</v>
      </c>
      <c r="D65" s="1">
        <v>89.22</v>
      </c>
      <c r="E65" s="1">
        <v>89.77</v>
      </c>
      <c r="F65">
        <f t="shared" si="2"/>
        <v>1.1099999999999994</v>
      </c>
      <c r="G65">
        <f t="shared" si="3"/>
        <v>0.99623922491477124</v>
      </c>
    </row>
    <row r="66" spans="1:7" x14ac:dyDescent="0.2">
      <c r="A66" s="2">
        <v>43166</v>
      </c>
      <c r="B66" s="1">
        <v>88.61</v>
      </c>
      <c r="C66" s="1">
        <v>89.21</v>
      </c>
      <c r="D66" s="1">
        <v>88.4</v>
      </c>
      <c r="E66" s="1">
        <v>89.01</v>
      </c>
      <c r="F66">
        <f t="shared" si="2"/>
        <v>1.3699999999999903</v>
      </c>
      <c r="G66">
        <f t="shared" si="3"/>
        <v>1.0229364231351441</v>
      </c>
    </row>
    <row r="67" spans="1:7" x14ac:dyDescent="0.2">
      <c r="A67" s="2">
        <v>43167</v>
      </c>
      <c r="B67" s="1">
        <v>89.11</v>
      </c>
      <c r="C67" s="1">
        <v>89.11</v>
      </c>
      <c r="D67" s="1">
        <v>88.15</v>
      </c>
      <c r="E67" s="1">
        <v>88.6</v>
      </c>
      <c r="F67">
        <f t="shared" si="2"/>
        <v>0.95999999999999375</v>
      </c>
      <c r="G67">
        <f t="shared" si="3"/>
        <v>1.0184409643397763</v>
      </c>
    </row>
    <row r="68" spans="1:7" x14ac:dyDescent="0.2">
      <c r="A68" s="2">
        <v>43168</v>
      </c>
      <c r="B68" s="1">
        <v>88.69</v>
      </c>
      <c r="C68" s="1">
        <v>89.34</v>
      </c>
      <c r="D68" s="1">
        <v>88.59</v>
      </c>
      <c r="E68" s="1">
        <v>88.77</v>
      </c>
      <c r="F68">
        <f t="shared" ref="F68:F99" si="4">MAX(ABS(D68-E67),ABS(C68-E67),ABS(C68-D68))</f>
        <v>0.75</v>
      </c>
      <c r="G68">
        <f t="shared" si="3"/>
        <v>0.99926660974407799</v>
      </c>
    </row>
    <row r="69" spans="1:7" x14ac:dyDescent="0.2">
      <c r="A69" s="2">
        <v>43169</v>
      </c>
      <c r="B69" s="1">
        <v>88.45</v>
      </c>
      <c r="C69" s="1">
        <v>89.16</v>
      </c>
      <c r="D69" s="1">
        <v>88.2</v>
      </c>
      <c r="E69" s="1">
        <v>88.68</v>
      </c>
      <c r="F69">
        <f t="shared" si="4"/>
        <v>0.95999999999999375</v>
      </c>
      <c r="G69">
        <f t="shared" si="3"/>
        <v>0.99646185190521486</v>
      </c>
    </row>
    <row r="70" spans="1:7" x14ac:dyDescent="0.2">
      <c r="A70" s="2">
        <v>43170</v>
      </c>
      <c r="B70" s="1">
        <v>88.95</v>
      </c>
      <c r="C70" s="1">
        <v>89.27</v>
      </c>
      <c r="D70" s="1">
        <v>88.23</v>
      </c>
      <c r="E70" s="1">
        <v>89.22</v>
      </c>
      <c r="F70">
        <f t="shared" si="4"/>
        <v>1.039999999999992</v>
      </c>
      <c r="G70">
        <f t="shared" si="3"/>
        <v>0.99957171962627034</v>
      </c>
    </row>
    <row r="71" spans="1:7" x14ac:dyDescent="0.2">
      <c r="A71" s="2">
        <v>43171</v>
      </c>
      <c r="B71" s="1">
        <v>88.88</v>
      </c>
      <c r="C71" s="1">
        <v>89.19</v>
      </c>
      <c r="D71" s="1">
        <v>88.41</v>
      </c>
      <c r="E71" s="1">
        <v>88.99</v>
      </c>
      <c r="F71">
        <f t="shared" si="4"/>
        <v>0.81000000000000227</v>
      </c>
      <c r="G71">
        <f t="shared" si="3"/>
        <v>0.98603088251010829</v>
      </c>
    </row>
    <row r="72" spans="1:7" x14ac:dyDescent="0.2">
      <c r="A72" s="2">
        <v>43172</v>
      </c>
      <c r="B72" s="1">
        <v>88.29</v>
      </c>
      <c r="C72" s="1">
        <v>88.67</v>
      </c>
      <c r="D72" s="1">
        <v>86.27</v>
      </c>
      <c r="E72" s="1">
        <v>86.49</v>
      </c>
      <c r="F72">
        <f t="shared" si="4"/>
        <v>2.7199999999999989</v>
      </c>
      <c r="G72">
        <f t="shared" si="3"/>
        <v>1.1098858194736718</v>
      </c>
    </row>
    <row r="73" spans="1:7" x14ac:dyDescent="0.2">
      <c r="A73" s="2">
        <v>43173</v>
      </c>
      <c r="B73" s="1">
        <v>87.19</v>
      </c>
      <c r="C73" s="1">
        <v>87.23</v>
      </c>
      <c r="D73" s="1">
        <v>86.09</v>
      </c>
      <c r="E73" s="1">
        <v>86.61</v>
      </c>
      <c r="F73">
        <f t="shared" si="4"/>
        <v>1.1400000000000006</v>
      </c>
      <c r="G73">
        <f t="shared" si="3"/>
        <v>1.1120368323684096</v>
      </c>
    </row>
    <row r="74" spans="1:7" x14ac:dyDescent="0.2">
      <c r="A74" s="2">
        <v>43174</v>
      </c>
      <c r="B74" s="1">
        <v>86.21</v>
      </c>
      <c r="C74" s="1">
        <v>86.38</v>
      </c>
      <c r="D74" s="1">
        <v>85.02</v>
      </c>
      <c r="E74" s="1">
        <v>86.08</v>
      </c>
      <c r="F74">
        <f t="shared" si="4"/>
        <v>1.5900000000000034</v>
      </c>
      <c r="G74">
        <f t="shared" si="3"/>
        <v>1.1461770586278093</v>
      </c>
    </row>
    <row r="75" spans="1:7" x14ac:dyDescent="0.2">
      <c r="A75" s="2">
        <v>43175</v>
      </c>
      <c r="B75" s="1">
        <v>86.28</v>
      </c>
      <c r="C75" s="1">
        <v>87.08</v>
      </c>
      <c r="D75" s="1">
        <v>85.78</v>
      </c>
      <c r="E75" s="1">
        <v>86.62</v>
      </c>
      <c r="F75">
        <f t="shared" si="4"/>
        <v>1.2999999999999972</v>
      </c>
      <c r="G75">
        <f t="shared" si="3"/>
        <v>1.1571644115829653</v>
      </c>
    </row>
    <row r="76" spans="1:7" x14ac:dyDescent="0.2">
      <c r="A76" s="2">
        <v>43176</v>
      </c>
      <c r="B76" s="1">
        <v>87.27</v>
      </c>
      <c r="C76" s="1">
        <v>87.49</v>
      </c>
      <c r="D76" s="1">
        <v>86.43</v>
      </c>
      <c r="E76" s="1">
        <v>87.45</v>
      </c>
      <c r="F76">
        <f t="shared" si="4"/>
        <v>1.0599999999999881</v>
      </c>
      <c r="G76">
        <f t="shared" si="3"/>
        <v>1.1502240964698953</v>
      </c>
    </row>
    <row r="77" spans="1:7" x14ac:dyDescent="0.2">
      <c r="A77" s="2">
        <v>43177</v>
      </c>
      <c r="B77" s="1">
        <v>87.61</v>
      </c>
      <c r="C77" s="1">
        <v>88.32</v>
      </c>
      <c r="D77" s="1">
        <v>87.29</v>
      </c>
      <c r="E77" s="1">
        <v>88.09</v>
      </c>
      <c r="F77">
        <f t="shared" si="4"/>
        <v>1.0299999999999869</v>
      </c>
      <c r="G77">
        <f t="shared" si="3"/>
        <v>1.1416366610077591</v>
      </c>
    </row>
    <row r="78" spans="1:7" x14ac:dyDescent="0.2">
      <c r="A78" s="2"/>
    </row>
    <row r="79" spans="1:7" x14ac:dyDescent="0.2">
      <c r="A79" s="2"/>
    </row>
    <row r="80" spans="1:7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>
        <v>43270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42</vt:i4>
      </vt:variant>
    </vt:vector>
  </HeadingPairs>
  <TitlesOfParts>
    <vt:vector size="43" baseType="lpstr">
      <vt:lpstr>Sample Data Set</vt:lpstr>
      <vt:lpstr>'Sample Data Set'!ExternalData_1</vt:lpstr>
      <vt:lpstr>'Sample Data Set'!ExternalData_10</vt:lpstr>
      <vt:lpstr>'Sample Data Set'!ExternalData_11</vt:lpstr>
      <vt:lpstr>'Sample Data Set'!ExternalData_12</vt:lpstr>
      <vt:lpstr>'Sample Data Set'!ExternalData_13</vt:lpstr>
      <vt:lpstr>'Sample Data Set'!ExternalData_14</vt:lpstr>
      <vt:lpstr>'Sample Data Set'!ExternalData_15</vt:lpstr>
      <vt:lpstr>'Sample Data Set'!ExternalData_16</vt:lpstr>
      <vt:lpstr>'Sample Data Set'!ExternalData_17</vt:lpstr>
      <vt:lpstr>'Sample Data Set'!ExternalData_18</vt:lpstr>
      <vt:lpstr>'Sample Data Set'!ExternalData_19</vt:lpstr>
      <vt:lpstr>'Sample Data Set'!ExternalData_2</vt:lpstr>
      <vt:lpstr>'Sample Data Set'!ExternalData_20</vt:lpstr>
      <vt:lpstr>'Sample Data Set'!ExternalData_21</vt:lpstr>
      <vt:lpstr>'Sample Data Set'!ExternalData_22</vt:lpstr>
      <vt:lpstr>'Sample Data Set'!ExternalData_23</vt:lpstr>
      <vt:lpstr>'Sample Data Set'!ExternalData_24</vt:lpstr>
      <vt:lpstr>'Sample Data Set'!ExternalData_25</vt:lpstr>
      <vt:lpstr>'Sample Data Set'!ExternalData_26</vt:lpstr>
      <vt:lpstr>'Sample Data Set'!ExternalData_27</vt:lpstr>
      <vt:lpstr>'Sample Data Set'!ExternalData_28</vt:lpstr>
      <vt:lpstr>'Sample Data Set'!ExternalData_29</vt:lpstr>
      <vt:lpstr>'Sample Data Set'!ExternalData_3</vt:lpstr>
      <vt:lpstr>'Sample Data Set'!ExternalData_30</vt:lpstr>
      <vt:lpstr>'Sample Data Set'!ExternalData_31</vt:lpstr>
      <vt:lpstr>'Sample Data Set'!ExternalData_32</vt:lpstr>
      <vt:lpstr>'Sample Data Set'!ExternalData_33</vt:lpstr>
      <vt:lpstr>'Sample Data Set'!ExternalData_36</vt:lpstr>
      <vt:lpstr>'Sample Data Set'!ExternalData_37</vt:lpstr>
      <vt:lpstr>'Sample Data Set'!ExternalData_38</vt:lpstr>
      <vt:lpstr>'Sample Data Set'!ExternalData_39</vt:lpstr>
      <vt:lpstr>'Sample Data Set'!ExternalData_4</vt:lpstr>
      <vt:lpstr>'Sample Data Set'!ExternalData_40</vt:lpstr>
      <vt:lpstr>'Sample Data Set'!ExternalData_41</vt:lpstr>
      <vt:lpstr>'Sample Data Set'!ExternalData_42</vt:lpstr>
      <vt:lpstr>'Sample Data Set'!ExternalData_43</vt:lpstr>
      <vt:lpstr>'Sample Data Set'!ExternalData_44</vt:lpstr>
      <vt:lpstr>'Sample Data Set'!ExternalData_5</vt:lpstr>
      <vt:lpstr>'Sample Data Set'!ExternalData_6</vt:lpstr>
      <vt:lpstr>'Sample Data Set'!ExternalData_7</vt:lpstr>
      <vt:lpstr>'Sample Data Set'!ExternalData_8</vt:lpstr>
      <vt:lpstr>'Sample Data Set'!ExternalData_9</vt:lpstr>
    </vt:vector>
  </TitlesOfParts>
  <Company>http://www.OptionTradingTips.com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</dc:creator>
  <cp:lastModifiedBy>DELL</cp:lastModifiedBy>
  <cp:lastPrinted>2013-09-03T01:52:05Z</cp:lastPrinted>
  <dcterms:created xsi:type="dcterms:W3CDTF">2006-03-23T23:14:50Z</dcterms:created>
  <dcterms:modified xsi:type="dcterms:W3CDTF">2020-08-25T18:37:42Z</dcterms:modified>
</cp:coreProperties>
</file>