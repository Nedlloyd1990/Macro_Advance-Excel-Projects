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285" windowWidth="15180" windowHeight="7860"/>
  </bookViews>
  <sheets>
    <sheet name="Sample Data Set" sheetId="6" r:id="rId1"/>
  </sheets>
  <definedNames>
    <definedName name="ATRWindow">#REF!</definedName>
    <definedName name="Days">#REF!</definedName>
    <definedName name="DaysInYear">#REF!</definedName>
    <definedName name="EndDate">#REF!</definedName>
    <definedName name="ExternalData_1" localSheetId="0">'Sample Data Set'!$A$2:$A$170</definedName>
    <definedName name="ExternalData_10" localSheetId="0">'Sample Data Set'!$A$2:$A$170</definedName>
    <definedName name="ExternalData_11" localSheetId="0">'Sample Data Set'!$A$2:$A$170</definedName>
    <definedName name="ExternalData_12" localSheetId="0">'Sample Data Set'!$A$2:$A$170</definedName>
    <definedName name="ExternalData_13" localSheetId="0">'Sample Data Set'!$A$2:$A$170</definedName>
    <definedName name="ExternalData_14" localSheetId="0">'Sample Data Set'!$A$2:$A$170</definedName>
    <definedName name="ExternalData_15" localSheetId="0">'Sample Data Set'!$A$2:$A$170</definedName>
    <definedName name="ExternalData_16" localSheetId="0">'Sample Data Set'!$A$2:$A$170</definedName>
    <definedName name="ExternalData_17" localSheetId="0">'Sample Data Set'!$A$2:$A$170</definedName>
    <definedName name="ExternalData_18" localSheetId="0">'Sample Data Set'!$A$2:$A$170</definedName>
    <definedName name="ExternalData_19" localSheetId="0">'Sample Data Set'!$A$2:$A$170</definedName>
    <definedName name="ExternalData_2" localSheetId="0">'Sample Data Set'!$A$2:$A$170</definedName>
    <definedName name="ExternalData_20" localSheetId="0">'Sample Data Set'!$A$2:$A$170</definedName>
    <definedName name="ExternalData_21" localSheetId="0">'Sample Data Set'!$A$2:$A$170</definedName>
    <definedName name="ExternalData_22" localSheetId="0">'Sample Data Set'!$A$2:$A$170</definedName>
    <definedName name="ExternalData_23" localSheetId="0">'Sample Data Set'!$A$2:$A$170</definedName>
    <definedName name="ExternalData_24" localSheetId="0">'Sample Data Set'!$A$2:$A$170</definedName>
    <definedName name="ExternalData_25" localSheetId="0">'Sample Data Set'!$A$2:$A$170</definedName>
    <definedName name="ExternalData_26" localSheetId="0">'Sample Data Set'!$A$2:$A$170</definedName>
    <definedName name="ExternalData_27" localSheetId="0">'Sample Data Set'!$A$2:$A$170</definedName>
    <definedName name="ExternalData_28" localSheetId="0">'Sample Data Set'!$A$2:$A$170</definedName>
    <definedName name="ExternalData_29" localSheetId="0">'Sample Data Set'!$A$2:$A$170</definedName>
    <definedName name="ExternalData_3" localSheetId="0">'Sample Data Set'!$A$2:$A$170</definedName>
    <definedName name="ExternalData_30" localSheetId="0">'Sample Data Set'!$A$2:$A$170</definedName>
    <definedName name="ExternalData_31" localSheetId="0">'Sample Data Set'!$A$2:$A$170</definedName>
    <definedName name="ExternalData_32" localSheetId="0">'Sample Data Set'!$A$2:$A$170</definedName>
    <definedName name="ExternalData_33" localSheetId="0">'Sample Data Set'!$A$2:$A$170</definedName>
    <definedName name="ExternalData_36" localSheetId="0">'Sample Data Set'!$A$2:$A$170</definedName>
    <definedName name="ExternalData_37" localSheetId="0">'Sample Data Set'!$A$2:$A$170</definedName>
    <definedName name="ExternalData_38" localSheetId="0">'Sample Data Set'!$A$2:$A$170</definedName>
    <definedName name="ExternalData_39" localSheetId="0">'Sample Data Set'!$A$2:$A$170</definedName>
    <definedName name="ExternalData_4" localSheetId="0">'Sample Data Set'!$A$2:$A$170</definedName>
    <definedName name="ExternalData_40" localSheetId="0">'Sample Data Set'!$A$2:$A$170</definedName>
    <definedName name="ExternalData_41" localSheetId="0">'Sample Data Set'!$A$2:$A$170</definedName>
    <definedName name="ExternalData_42" localSheetId="0">'Sample Data Set'!$A$2:$A$170</definedName>
    <definedName name="ExternalData_43" localSheetId="0">'Sample Data Set'!$A$2:$A$170</definedName>
    <definedName name="ExternalData_44" localSheetId="0">'Sample Data Set'!$A$2:$A$170</definedName>
    <definedName name="ExternalData_5" localSheetId="0">'Sample Data Set'!$A$2:$A$170</definedName>
    <definedName name="ExternalData_6" localSheetId="0">'Sample Data Set'!$A$2:$A$170</definedName>
    <definedName name="ExternalData_7" localSheetId="0">'Sample Data Set'!$A$2:$A$170</definedName>
    <definedName name="ExternalData_8" localSheetId="0">'Sample Data Set'!$A$2:$A$170</definedName>
    <definedName name="ExternalData_9" localSheetId="0">'Sample Data Set'!$A$2:$A$170</definedName>
    <definedName name="RSIWindow">#REF!</definedName>
    <definedName name="StartDate">#REF!</definedName>
    <definedName name="StockTicker">#REF!</definedName>
    <definedName name="VolatilityDays">#REF!</definedName>
  </definedNames>
  <calcPr calcId="144525"/>
</workbook>
</file>

<file path=xl/calcChain.xml><?xml version="1.0" encoding="utf-8"?>
<calcChain xmlns="http://schemas.openxmlformats.org/spreadsheetml/2006/main">
  <c r="I28" i="6" l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I135" i="6" s="1"/>
  <c r="I136" i="6" s="1"/>
  <c r="I137" i="6" s="1"/>
  <c r="I138" i="6" s="1"/>
  <c r="I139" i="6" s="1"/>
  <c r="I140" i="6" s="1"/>
  <c r="I141" i="6" s="1"/>
  <c r="I142" i="6" s="1"/>
  <c r="I143" i="6" s="1"/>
  <c r="I144" i="6" s="1"/>
  <c r="I145" i="6" s="1"/>
  <c r="I146" i="6" s="1"/>
  <c r="I147" i="6" s="1"/>
  <c r="I148" i="6" s="1"/>
  <c r="I149" i="6" s="1"/>
  <c r="I150" i="6" s="1"/>
  <c r="I151" i="6" s="1"/>
  <c r="I152" i="6" s="1"/>
  <c r="I153" i="6" s="1"/>
  <c r="I154" i="6" s="1"/>
  <c r="I155" i="6" s="1"/>
  <c r="I156" i="6" s="1"/>
  <c r="I157" i="6" s="1"/>
  <c r="I158" i="6" s="1"/>
  <c r="I159" i="6" s="1"/>
  <c r="I160" i="6" s="1"/>
  <c r="I161" i="6" s="1"/>
  <c r="I162" i="6" s="1"/>
  <c r="I163" i="6" s="1"/>
  <c r="I164" i="6" s="1"/>
  <c r="I165" i="6" s="1"/>
  <c r="I166" i="6" s="1"/>
  <c r="I167" i="6" s="1"/>
  <c r="I168" i="6" s="1"/>
  <c r="I169" i="6" s="1"/>
  <c r="H14" i="6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3" i="6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J28" i="6" l="1"/>
  <c r="H29" i="6"/>
  <c r="J29" i="6" l="1"/>
  <c r="H30" i="6"/>
  <c r="J30" i="6" l="1"/>
  <c r="H31" i="6"/>
  <c r="J31" i="6" l="1"/>
  <c r="H32" i="6"/>
  <c r="J32" i="6" l="1"/>
  <c r="H33" i="6"/>
  <c r="J33" i="6" l="1"/>
  <c r="H34" i="6"/>
  <c r="J34" i="6" l="1"/>
  <c r="H35" i="6"/>
  <c r="J35" i="6" l="1"/>
  <c r="H36" i="6"/>
  <c r="J36" i="6" l="1"/>
  <c r="H37" i="6"/>
  <c r="J37" i="6" l="1"/>
  <c r="H38" i="6"/>
  <c r="K36" i="6"/>
  <c r="L36" i="6" s="1"/>
  <c r="J38" i="6" l="1"/>
  <c r="H39" i="6"/>
  <c r="K37" i="6"/>
  <c r="L37" i="6" s="1"/>
  <c r="J39" i="6" l="1"/>
  <c r="H40" i="6"/>
  <c r="L38" i="6"/>
  <c r="K38" i="6"/>
  <c r="J40" i="6" l="1"/>
  <c r="H41" i="6"/>
  <c r="K39" i="6"/>
  <c r="L39" i="6" s="1"/>
  <c r="J41" i="6" l="1"/>
  <c r="H42" i="6"/>
  <c r="K40" i="6"/>
  <c r="L40" i="6" s="1"/>
  <c r="J42" i="6" l="1"/>
  <c r="H43" i="6"/>
  <c r="K41" i="6"/>
  <c r="L41" i="6" s="1"/>
  <c r="J43" i="6" l="1"/>
  <c r="H44" i="6"/>
  <c r="K42" i="6"/>
  <c r="L42" i="6" s="1"/>
  <c r="J44" i="6" l="1"/>
  <c r="H45" i="6"/>
  <c r="K43" i="6"/>
  <c r="L43" i="6" s="1"/>
  <c r="J45" i="6" l="1"/>
  <c r="H46" i="6"/>
  <c r="K44" i="6"/>
  <c r="L44" i="6" s="1"/>
  <c r="J46" i="6" l="1"/>
  <c r="H47" i="6"/>
  <c r="K45" i="6"/>
  <c r="L45" i="6" s="1"/>
  <c r="J47" i="6" l="1"/>
  <c r="H48" i="6"/>
  <c r="K46" i="6"/>
  <c r="L46" i="6" s="1"/>
  <c r="J48" i="6" l="1"/>
  <c r="H49" i="6"/>
  <c r="K47" i="6"/>
  <c r="L47" i="6" s="1"/>
  <c r="J49" i="6" l="1"/>
  <c r="H50" i="6"/>
  <c r="K48" i="6"/>
  <c r="L48" i="6" s="1"/>
  <c r="J50" i="6" l="1"/>
  <c r="H51" i="6"/>
  <c r="K49" i="6"/>
  <c r="L49" i="6" s="1"/>
  <c r="J51" i="6" l="1"/>
  <c r="H52" i="6"/>
  <c r="K50" i="6"/>
  <c r="L50" i="6" s="1"/>
  <c r="J52" i="6" l="1"/>
  <c r="H53" i="6"/>
  <c r="K51" i="6"/>
  <c r="L51" i="6" s="1"/>
  <c r="J53" i="6" l="1"/>
  <c r="H54" i="6"/>
  <c r="K52" i="6"/>
  <c r="L52" i="6" s="1"/>
  <c r="J54" i="6" l="1"/>
  <c r="H55" i="6"/>
  <c r="K53" i="6"/>
  <c r="L53" i="6" s="1"/>
  <c r="J55" i="6" l="1"/>
  <c r="H56" i="6"/>
  <c r="L54" i="6"/>
  <c r="K54" i="6"/>
  <c r="J56" i="6" l="1"/>
  <c r="H57" i="6"/>
  <c r="K55" i="6"/>
  <c r="L55" i="6" s="1"/>
  <c r="J57" i="6" l="1"/>
  <c r="H58" i="6"/>
  <c r="K56" i="6"/>
  <c r="L56" i="6" s="1"/>
  <c r="J58" i="6" l="1"/>
  <c r="H59" i="6"/>
  <c r="K57" i="6"/>
  <c r="L57" i="6" s="1"/>
  <c r="J59" i="6" l="1"/>
  <c r="H60" i="6"/>
  <c r="K58" i="6"/>
  <c r="L58" i="6" s="1"/>
  <c r="J60" i="6" l="1"/>
  <c r="H61" i="6"/>
  <c r="K59" i="6"/>
  <c r="L59" i="6" s="1"/>
  <c r="J61" i="6" l="1"/>
  <c r="H62" i="6"/>
  <c r="K60" i="6"/>
  <c r="L60" i="6" s="1"/>
  <c r="J62" i="6" l="1"/>
  <c r="H63" i="6"/>
  <c r="K61" i="6"/>
  <c r="L61" i="6" s="1"/>
  <c r="J63" i="6" l="1"/>
  <c r="H64" i="6"/>
  <c r="L62" i="6"/>
  <c r="K62" i="6"/>
  <c r="J64" i="6" l="1"/>
  <c r="H65" i="6"/>
  <c r="K63" i="6"/>
  <c r="L63" i="6" s="1"/>
  <c r="J65" i="6" l="1"/>
  <c r="H66" i="6"/>
  <c r="K64" i="6"/>
  <c r="L64" i="6" s="1"/>
  <c r="J66" i="6" l="1"/>
  <c r="H67" i="6"/>
  <c r="K65" i="6"/>
  <c r="L65" i="6" s="1"/>
  <c r="J67" i="6" l="1"/>
  <c r="H68" i="6"/>
  <c r="K66" i="6"/>
  <c r="L66" i="6" s="1"/>
  <c r="J68" i="6" l="1"/>
  <c r="H69" i="6"/>
  <c r="K67" i="6"/>
  <c r="L67" i="6" s="1"/>
  <c r="J69" i="6" l="1"/>
  <c r="H70" i="6"/>
  <c r="K68" i="6"/>
  <c r="L68" i="6" s="1"/>
  <c r="J70" i="6" l="1"/>
  <c r="H71" i="6"/>
  <c r="K69" i="6"/>
  <c r="L69" i="6" s="1"/>
  <c r="J71" i="6" l="1"/>
  <c r="H72" i="6"/>
  <c r="L70" i="6"/>
  <c r="K70" i="6"/>
  <c r="J72" i="6" l="1"/>
  <c r="H73" i="6"/>
  <c r="K71" i="6"/>
  <c r="L71" i="6" s="1"/>
  <c r="J73" i="6" l="1"/>
  <c r="H74" i="6"/>
  <c r="K72" i="6"/>
  <c r="L72" i="6" s="1"/>
  <c r="J74" i="6" l="1"/>
  <c r="H75" i="6"/>
  <c r="L73" i="6"/>
  <c r="K73" i="6"/>
  <c r="J75" i="6" l="1"/>
  <c r="H76" i="6"/>
  <c r="L74" i="6"/>
  <c r="K74" i="6"/>
  <c r="J76" i="6" l="1"/>
  <c r="H77" i="6"/>
  <c r="L75" i="6"/>
  <c r="K75" i="6"/>
  <c r="J77" i="6" l="1"/>
  <c r="H78" i="6"/>
  <c r="K76" i="6"/>
  <c r="L76" i="6" s="1"/>
  <c r="J78" i="6" l="1"/>
  <c r="H79" i="6"/>
  <c r="L77" i="6"/>
  <c r="K77" i="6"/>
  <c r="J79" i="6" l="1"/>
  <c r="H80" i="6"/>
  <c r="L78" i="6"/>
  <c r="K78" i="6"/>
  <c r="J80" i="6" l="1"/>
  <c r="H81" i="6"/>
  <c r="K79" i="6"/>
  <c r="L79" i="6" s="1"/>
  <c r="J81" i="6" l="1"/>
  <c r="H82" i="6"/>
  <c r="K80" i="6"/>
  <c r="L80" i="6" s="1"/>
  <c r="J82" i="6" l="1"/>
  <c r="H83" i="6"/>
  <c r="K81" i="6"/>
  <c r="L81" i="6" s="1"/>
  <c r="J83" i="6" l="1"/>
  <c r="H84" i="6"/>
  <c r="K82" i="6"/>
  <c r="L82" i="6" s="1"/>
  <c r="J84" i="6" l="1"/>
  <c r="H85" i="6"/>
  <c r="K83" i="6"/>
  <c r="L83" i="6" s="1"/>
  <c r="J85" i="6" l="1"/>
  <c r="H86" i="6"/>
  <c r="K84" i="6"/>
  <c r="L84" i="6" s="1"/>
  <c r="J86" i="6" l="1"/>
  <c r="H87" i="6"/>
  <c r="K85" i="6"/>
  <c r="L85" i="6" s="1"/>
  <c r="J87" i="6" l="1"/>
  <c r="H88" i="6"/>
  <c r="K86" i="6"/>
  <c r="L86" i="6" s="1"/>
  <c r="J88" i="6" l="1"/>
  <c r="H89" i="6"/>
  <c r="K87" i="6"/>
  <c r="L87" i="6" s="1"/>
  <c r="J89" i="6" l="1"/>
  <c r="H90" i="6"/>
  <c r="K88" i="6"/>
  <c r="L88" i="6" s="1"/>
  <c r="J90" i="6" l="1"/>
  <c r="H91" i="6"/>
  <c r="K89" i="6"/>
  <c r="L89" i="6" s="1"/>
  <c r="J91" i="6" l="1"/>
  <c r="H92" i="6"/>
  <c r="K90" i="6"/>
  <c r="L90" i="6" s="1"/>
  <c r="K91" i="6" l="1"/>
  <c r="L91" i="6" s="1"/>
  <c r="J92" i="6"/>
  <c r="H93" i="6"/>
  <c r="J93" i="6" l="1"/>
  <c r="H94" i="6"/>
  <c r="K92" i="6"/>
  <c r="L92" i="6" s="1"/>
  <c r="J94" i="6" l="1"/>
  <c r="H95" i="6"/>
  <c r="K93" i="6"/>
  <c r="L93" i="6" s="1"/>
  <c r="J95" i="6" l="1"/>
  <c r="H96" i="6"/>
  <c r="K94" i="6"/>
  <c r="L94" i="6" s="1"/>
  <c r="J96" i="6" l="1"/>
  <c r="H97" i="6"/>
  <c r="K95" i="6"/>
  <c r="L95" i="6" s="1"/>
  <c r="J97" i="6" l="1"/>
  <c r="H98" i="6"/>
  <c r="K96" i="6"/>
  <c r="L96" i="6" s="1"/>
  <c r="J98" i="6" l="1"/>
  <c r="H99" i="6"/>
  <c r="K97" i="6"/>
  <c r="L97" i="6" s="1"/>
  <c r="J99" i="6" l="1"/>
  <c r="H100" i="6"/>
  <c r="K98" i="6"/>
  <c r="L98" i="6" s="1"/>
  <c r="J100" i="6" l="1"/>
  <c r="H101" i="6"/>
  <c r="K99" i="6"/>
  <c r="L99" i="6" s="1"/>
  <c r="J101" i="6" l="1"/>
  <c r="H102" i="6"/>
  <c r="K100" i="6"/>
  <c r="L100" i="6" s="1"/>
  <c r="K101" i="6" l="1"/>
  <c r="L101" i="6" s="1"/>
  <c r="J102" i="6"/>
  <c r="H103" i="6"/>
  <c r="J103" i="6" l="1"/>
  <c r="H104" i="6"/>
  <c r="K102" i="6"/>
  <c r="L102" i="6" s="1"/>
  <c r="J104" i="6" l="1"/>
  <c r="H105" i="6"/>
  <c r="K103" i="6"/>
  <c r="L103" i="6" s="1"/>
  <c r="J105" i="6" l="1"/>
  <c r="H106" i="6"/>
  <c r="K104" i="6"/>
  <c r="L104" i="6" s="1"/>
  <c r="J106" i="6" l="1"/>
  <c r="H107" i="6"/>
  <c r="K105" i="6"/>
  <c r="L105" i="6" s="1"/>
  <c r="J107" i="6" l="1"/>
  <c r="H108" i="6"/>
  <c r="K106" i="6"/>
  <c r="L106" i="6" s="1"/>
  <c r="J108" i="6" l="1"/>
  <c r="H109" i="6"/>
  <c r="K107" i="6"/>
  <c r="L107" i="6" s="1"/>
  <c r="J109" i="6" l="1"/>
  <c r="H110" i="6"/>
  <c r="K108" i="6"/>
  <c r="L108" i="6" s="1"/>
  <c r="J110" i="6" l="1"/>
  <c r="H111" i="6"/>
  <c r="K109" i="6"/>
  <c r="L109" i="6" s="1"/>
  <c r="J111" i="6" l="1"/>
  <c r="H112" i="6"/>
  <c r="K110" i="6"/>
  <c r="L110" i="6" s="1"/>
  <c r="J112" i="6" l="1"/>
  <c r="H113" i="6"/>
  <c r="K111" i="6"/>
  <c r="L111" i="6" s="1"/>
  <c r="J113" i="6" l="1"/>
  <c r="H114" i="6"/>
  <c r="K112" i="6"/>
  <c r="L112" i="6" s="1"/>
  <c r="J114" i="6" l="1"/>
  <c r="H115" i="6"/>
  <c r="K113" i="6"/>
  <c r="L113" i="6" s="1"/>
  <c r="J115" i="6" l="1"/>
  <c r="H116" i="6"/>
  <c r="K114" i="6"/>
  <c r="L114" i="6" s="1"/>
  <c r="J116" i="6" l="1"/>
  <c r="H117" i="6"/>
  <c r="K115" i="6"/>
  <c r="L115" i="6" s="1"/>
  <c r="J117" i="6" l="1"/>
  <c r="H118" i="6"/>
  <c r="K116" i="6"/>
  <c r="L116" i="6" s="1"/>
  <c r="K117" i="6" l="1"/>
  <c r="L117" i="6" s="1"/>
  <c r="J118" i="6"/>
  <c r="H119" i="6"/>
  <c r="J119" i="6" l="1"/>
  <c r="H120" i="6"/>
  <c r="K118" i="6"/>
  <c r="L118" i="6" s="1"/>
  <c r="J120" i="6" l="1"/>
  <c r="H121" i="6"/>
  <c r="K119" i="6"/>
  <c r="L119" i="6" s="1"/>
  <c r="J121" i="6" l="1"/>
  <c r="H122" i="6"/>
  <c r="K120" i="6"/>
  <c r="L120" i="6" s="1"/>
  <c r="J122" i="6" l="1"/>
  <c r="H123" i="6"/>
  <c r="K121" i="6"/>
  <c r="L121" i="6" s="1"/>
  <c r="J123" i="6" l="1"/>
  <c r="H124" i="6"/>
  <c r="K122" i="6"/>
  <c r="L122" i="6" s="1"/>
  <c r="J124" i="6" l="1"/>
  <c r="H125" i="6"/>
  <c r="K123" i="6"/>
  <c r="L123" i="6" s="1"/>
  <c r="J125" i="6" l="1"/>
  <c r="H126" i="6"/>
  <c r="K124" i="6"/>
  <c r="L124" i="6" s="1"/>
  <c r="K125" i="6" l="1"/>
  <c r="L125" i="6" s="1"/>
  <c r="J126" i="6"/>
  <c r="H127" i="6"/>
  <c r="J127" i="6" l="1"/>
  <c r="H128" i="6"/>
  <c r="K126" i="6"/>
  <c r="L126" i="6" s="1"/>
  <c r="J128" i="6" l="1"/>
  <c r="H129" i="6"/>
  <c r="K127" i="6"/>
  <c r="L127" i="6" s="1"/>
  <c r="J129" i="6" l="1"/>
  <c r="H130" i="6"/>
  <c r="K128" i="6"/>
  <c r="L128" i="6" s="1"/>
  <c r="J130" i="6" l="1"/>
  <c r="H131" i="6"/>
  <c r="K129" i="6"/>
  <c r="L129" i="6" s="1"/>
  <c r="J131" i="6" l="1"/>
  <c r="H132" i="6"/>
  <c r="K130" i="6"/>
  <c r="L130" i="6" s="1"/>
  <c r="J132" i="6" l="1"/>
  <c r="H133" i="6"/>
  <c r="K131" i="6"/>
  <c r="L131" i="6" s="1"/>
  <c r="J133" i="6" l="1"/>
  <c r="H134" i="6"/>
  <c r="K132" i="6"/>
  <c r="L132" i="6" s="1"/>
  <c r="K133" i="6" l="1"/>
  <c r="L133" i="6" s="1"/>
  <c r="J134" i="6"/>
  <c r="H135" i="6"/>
  <c r="J135" i="6" l="1"/>
  <c r="H136" i="6"/>
  <c r="K134" i="6"/>
  <c r="L134" i="6" s="1"/>
  <c r="J136" i="6" l="1"/>
  <c r="H137" i="6"/>
  <c r="K135" i="6"/>
  <c r="L135" i="6" s="1"/>
  <c r="J137" i="6" l="1"/>
  <c r="H138" i="6"/>
  <c r="K136" i="6"/>
  <c r="L136" i="6" s="1"/>
  <c r="J138" i="6" l="1"/>
  <c r="H139" i="6"/>
  <c r="K137" i="6"/>
  <c r="L137" i="6" s="1"/>
  <c r="J139" i="6" l="1"/>
  <c r="H140" i="6"/>
  <c r="K138" i="6"/>
  <c r="L138" i="6" s="1"/>
  <c r="J140" i="6" l="1"/>
  <c r="H141" i="6"/>
  <c r="K139" i="6"/>
  <c r="L139" i="6" s="1"/>
  <c r="J141" i="6" l="1"/>
  <c r="H142" i="6"/>
  <c r="K140" i="6"/>
  <c r="L140" i="6" s="1"/>
  <c r="J142" i="6" l="1"/>
  <c r="H143" i="6"/>
  <c r="K141" i="6"/>
  <c r="L141" i="6" s="1"/>
  <c r="J143" i="6" l="1"/>
  <c r="H144" i="6"/>
  <c r="K142" i="6"/>
  <c r="L142" i="6" s="1"/>
  <c r="J144" i="6" l="1"/>
  <c r="H145" i="6"/>
  <c r="L143" i="6"/>
  <c r="K143" i="6"/>
  <c r="J145" i="6" l="1"/>
  <c r="H146" i="6"/>
  <c r="K144" i="6"/>
  <c r="L144" i="6" s="1"/>
  <c r="K145" i="6" l="1"/>
  <c r="L145" i="6" s="1"/>
  <c r="J146" i="6"/>
  <c r="H147" i="6"/>
  <c r="J147" i="6" l="1"/>
  <c r="H148" i="6"/>
  <c r="K146" i="6"/>
  <c r="L146" i="6" s="1"/>
  <c r="J148" i="6" l="1"/>
  <c r="H149" i="6"/>
  <c r="K147" i="6"/>
  <c r="L147" i="6" s="1"/>
  <c r="J149" i="6" l="1"/>
  <c r="H150" i="6"/>
  <c r="K148" i="6"/>
  <c r="L148" i="6" s="1"/>
  <c r="J150" i="6" l="1"/>
  <c r="H151" i="6"/>
  <c r="K149" i="6"/>
  <c r="L149" i="6" s="1"/>
  <c r="J151" i="6" l="1"/>
  <c r="H152" i="6"/>
  <c r="K150" i="6"/>
  <c r="L150" i="6" s="1"/>
  <c r="J152" i="6" l="1"/>
  <c r="H153" i="6"/>
  <c r="K151" i="6"/>
  <c r="L151" i="6" s="1"/>
  <c r="J153" i="6" l="1"/>
  <c r="H154" i="6"/>
  <c r="K152" i="6"/>
  <c r="L152" i="6" s="1"/>
  <c r="J154" i="6" l="1"/>
  <c r="H155" i="6"/>
  <c r="K153" i="6"/>
  <c r="L153" i="6" s="1"/>
  <c r="J155" i="6" l="1"/>
  <c r="H156" i="6"/>
  <c r="K154" i="6"/>
  <c r="L154" i="6" s="1"/>
  <c r="J156" i="6" l="1"/>
  <c r="H157" i="6"/>
  <c r="K155" i="6"/>
  <c r="L155" i="6" s="1"/>
  <c r="J157" i="6" l="1"/>
  <c r="H158" i="6"/>
  <c r="K156" i="6"/>
  <c r="L156" i="6" s="1"/>
  <c r="K157" i="6" l="1"/>
  <c r="L157" i="6" s="1"/>
  <c r="J158" i="6"/>
  <c r="H159" i="6"/>
  <c r="J159" i="6" l="1"/>
  <c r="H160" i="6"/>
  <c r="L158" i="6"/>
  <c r="K158" i="6"/>
  <c r="J160" i="6" l="1"/>
  <c r="H161" i="6"/>
  <c r="L159" i="6"/>
  <c r="K159" i="6"/>
  <c r="J161" i="6" l="1"/>
  <c r="H162" i="6"/>
  <c r="K160" i="6"/>
  <c r="L160" i="6" s="1"/>
  <c r="J162" i="6" l="1"/>
  <c r="H163" i="6"/>
  <c r="K161" i="6"/>
  <c r="L161" i="6" s="1"/>
  <c r="J163" i="6" l="1"/>
  <c r="H164" i="6"/>
  <c r="L162" i="6"/>
  <c r="K162" i="6"/>
  <c r="J164" i="6" l="1"/>
  <c r="H165" i="6"/>
  <c r="K163" i="6"/>
  <c r="L163" i="6" s="1"/>
  <c r="J165" i="6" l="1"/>
  <c r="H166" i="6"/>
  <c r="L164" i="6"/>
  <c r="K164" i="6"/>
  <c r="J166" i="6" l="1"/>
  <c r="H167" i="6"/>
  <c r="K165" i="6"/>
  <c r="L165" i="6" s="1"/>
  <c r="J167" i="6" l="1"/>
  <c r="H168" i="6"/>
  <c r="K166" i="6"/>
  <c r="L166" i="6" s="1"/>
  <c r="J168" i="6" l="1"/>
  <c r="H169" i="6"/>
  <c r="J169" i="6" s="1"/>
  <c r="L167" i="6"/>
  <c r="K167" i="6"/>
  <c r="L168" i="6" l="1"/>
  <c r="K168" i="6"/>
  <c r="K169" i="6" s="1"/>
  <c r="L169" i="6" s="1"/>
</calcChain>
</file>

<file path=xl/connections.xml><?xml version="1.0" encoding="utf-8"?>
<connections xmlns="http://schemas.openxmlformats.org/spreadsheetml/2006/main">
  <connection id="1" name="Connection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" name="Connection1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3" name="Connection10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" name="Connection11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5" name="Connection12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6" name="Connection13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7" name="Connection14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8" name="Connection15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9" name="Connection16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0" name="Connection17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1" name="Connection18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2" name="Connection19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3" name="Connection2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4" name="Connection20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5" name="Connection21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6" name="Connection22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7" name="Connection23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8" name="Connection24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19" name="Connection25" type="4" refreshedVersion="4" background="1" saveData="1">
    <webPr xl2000="1" url="http://ichart.yahoo.com/table.csv?s=BP&amp;a=0&amp;b=3&amp;c=2013&amp;d=8&amp;e=2&amp;f=2013&amp;g=&amp;q=q&amp;y=0&amp;z=BP&amp;x=.csv" htmlFormat="all"/>
  </connection>
  <connection id="20" name="Connection26" type="4" refreshedVersion="4" background="1" saveData="1">
    <webPr xl2000="1" url="http://ichart.yahoo.com/table.csv?s=BP&amp;a=0&amp;b=3&amp;c=2013&amp;d=8&amp;e=2&amp;f=2013&amp;g=&amp;q=q&amp;y=0&amp;z=BP&amp;x=.csv" htmlFormat="all"/>
  </connection>
  <connection id="21" name="Connection27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2" name="Connection28" type="4" refreshedVersion="4" background="1" saveData="1">
    <webPr xl2000="1" url="http://ichart.yahoo.com/table.csv?s=BP&amp;a=0&amp;b=3&amp;c=2013&amp;d=8&amp;e=2&amp;f=2013&amp;g=&amp;q=q&amp;y=0&amp;z=BP&amp;x=.csv" htmlFormat="all"/>
  </connection>
  <connection id="23" name="Connection29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4" name="Connection3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5" name="Connection30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6" name="Connection31" type="4" refreshedVersion="4" background="1" saveData="1">
    <webPr xl2000="1" url="http://ichart.yahoo.com/table.csv?s=BP&amp;a=0&amp;b=3&amp;c=2013&amp;d=8&amp;e=2&amp;f=2013&amp;g=&amp;q=q&amp;y=0&amp;z=BP&amp;x=.csv" htmlFormat="all"/>
  </connection>
  <connection id="27" name="Connection32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28" name="Connection33" type="4" refreshedVersion="0" background="1">
    <webPr url="http://ichart.yahoo.com/table.csv?s=XOM&amp;a=0&amp;b=3&amp;c=2013&amp;d=8&amp;e=2&amp;f=2013&amp;g=&amp;q=q&amp;y=0&amp;z=XOM&amp;x=.csv" htmlTables="1" htmlFormat="all"/>
  </connection>
  <connection id="29" name="Connection34" type="4" refreshedVersion="0" background="1">
    <webPr url="http://ichart.yahoo.com/table.csv?s=XOM&amp;a=0&amp;b=3&amp;c=2013&amp;d=8&amp;e=2&amp;f=2013&amp;g=&amp;q=q&amp;y=0&amp;z=XOM&amp;x=.csv" htmlTables="1" htmlFormat="all"/>
  </connection>
  <connection id="30" name="Connection35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1" name="Connection36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2" name="Connection37" type="4" refreshedVersion="4" background="1" saveData="1">
    <webPr xl2000="1" url="http://ichart.finance.yahoo.com/table.csv?s=BP&amp;a=0&amp;b=3&amp;c=2013&amp;d=8&amp;e=2&amp;f=2013&amp;g=&amp;q=q&amp;y=0&amp;z=BP&amp;x=.csv" htmlFormat="all"/>
  </connection>
  <connection id="33" name="Connection38" type="4" refreshedVersion="4" background="1" saveData="1">
    <webPr xl2000="1" url="http://ichart.finance.yahoo.com/table.csv?s=BP&amp;a=0&amp;b=3&amp;c=2013&amp;d=8&amp;e=2&amp;f=2013&amp;g=&amp;q=q&amp;y=0&amp;z=BP&amp;x=.csv" htmlFormat="all"/>
  </connection>
  <connection id="34" name="Connection39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5" name="Connection4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36" name="Connection40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7" name="Connection41" type="4" refreshedVersion="4" background="1" saveData="1">
    <webPr xl2000="1" url="http://ichart.finance.yahoo.com/table.csv?s=XOM&amp;a=0&amp;b=3&amp;c=2013&amp;d=8&amp;e=2&amp;f=2013&amp;g=&amp;q=q&amp;y=0&amp;z=XOM&amp;x=.csv" htmlFormat="all"/>
  </connection>
  <connection id="38" name="Connection42" type="4" refreshedVersion="5" background="1" saveData="1">
    <webPr xl2000="1" url="http://ichart.finance.yahoo.com/table.csv?s=XOM&amp;a=0&amp;b=3&amp;c=2013&amp;d=8&amp;e=2&amp;f=2013&amp;g=&amp;q=q&amp;y=0&amp;z=XOM&amp;x=.csv" htmlFormat="all"/>
  </connection>
  <connection id="39" name="Connection43" type="4" refreshedVersion="5" background="1" saveData="1">
    <webPr xl2000="1" url="http://ichart.finance.yahoo.com/table.csv?s=XOM&amp;a=0&amp;b=3&amp;c=2013&amp;d=8&amp;e=2&amp;f=2013&amp;g=&amp;q=q&amp;y=0&amp;z=XOM&amp;x=.csv" htmlFormat="all"/>
  </connection>
  <connection id="40" name="Connection5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1" name="Connection6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2" name="Connection7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3" name="Connection8" type="4" refreshedVersion="4" background="1" saveData="1">
    <webPr xl2000="1" url="http://ichart.yahoo.com/table.csv?s=XOM&amp;a=0&amp;b=3&amp;c=2013&amp;d=8&amp;e=2&amp;f=2013&amp;g=&amp;q=q&amp;y=0&amp;z=XOM&amp;x=.csv" htmlFormat="all"/>
  </connection>
  <connection id="44" name="Connection9" type="4" refreshedVersion="4" background="1" saveData="1">
    <webPr xl2000="1" url="http://ichart.yahoo.com/table.csv?s=XOM&amp;a=0&amp;b=3&amp;c=2013&amp;d=8&amp;e=2&amp;f=2013&amp;g=&amp;q=q&amp;y=0&amp;z=XOM&amp;x=.csv" htmlFormat="all"/>
  </connection>
</connections>
</file>

<file path=xl/sharedStrings.xml><?xml version="1.0" encoding="utf-8"?>
<sst xmlns="http://schemas.openxmlformats.org/spreadsheetml/2006/main" count="17" uniqueCount="13">
  <si>
    <t>Date</t>
  </si>
  <si>
    <t>Open</t>
  </si>
  <si>
    <t>High</t>
  </si>
  <si>
    <t>Low</t>
  </si>
  <si>
    <t>Close</t>
  </si>
  <si>
    <t>True Range</t>
  </si>
  <si>
    <t>Average True Range</t>
  </si>
  <si>
    <t>12 Day EMA</t>
  </si>
  <si>
    <t>26 Day EMA</t>
  </si>
  <si>
    <t>MACD</t>
  </si>
  <si>
    <t>Signal</t>
  </si>
  <si>
    <t>Histogram</t>
  </si>
  <si>
    <t>Yahoo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</si>
</sst>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E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3" connectionId="1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7" connectionId="4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42" connectionId="37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28" connectionId="21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5" connectionId="3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26" connectionId="19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44" connectionId="39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ExternalData_17" connectionId="9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ExternalData_38" connectionId="32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ExternalData_21" connectionId="14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ExternalData_32" connectionId="26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ExternalData_15" connectionId="7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ExternalData_18" connectionId="10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ExternalData_10" connectionId="44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ExternalData_25" connectionId="18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ExternalData_36" connectionId="30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ExternalData_20" connectionId="12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ExternalData_19" connectionId="11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name="ExternalData_40" connectionId="34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name="ExternalData_13" connectionId="5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name="ExternalData_41" connectionId="36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name="ExternalData_29" connectionId="22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name="ExternalData_27" connectionId="20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name="ExternalData_23" connectionId="16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name="ExternalData_30" connectionId="23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name="ExternalData_37" connectionId="31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name="ExternalData_33" connectionId="27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name="ExternalData_4" connectionId="24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name="ExternalData_39" connectionId="33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name="ExternalData_16" connectionId="8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name="ExternalData_11" connectionId="3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name="ExternalData_12" connectionId="4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name="ExternalData_8" connectionId="42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name="ExternalData_14" connectionId="6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name="ExternalData_22" connectionId="15" autoFormatId="16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name="ExternalData_43" connectionId="38" autoFormatId="16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name="ExternalData_6" connectionId="40" autoFormatId="16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name="ExternalData_24" connectionId="17" autoFormatId="16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name="ExternalData_31" connectionId="25" autoFormatId="16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name="ExternalData_9" connectionId="4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26" Type="http://schemas.openxmlformats.org/officeDocument/2006/relationships/queryTable" Target="../queryTables/queryTable26.xml"/><Relationship Id="rId39" Type="http://schemas.openxmlformats.org/officeDocument/2006/relationships/queryTable" Target="../queryTables/queryTable39.xml"/><Relationship Id="rId3" Type="http://schemas.openxmlformats.org/officeDocument/2006/relationships/queryTable" Target="../queryTables/queryTable3.xml"/><Relationship Id="rId21" Type="http://schemas.openxmlformats.org/officeDocument/2006/relationships/queryTable" Target="../queryTables/queryTable21.xml"/><Relationship Id="rId34" Type="http://schemas.openxmlformats.org/officeDocument/2006/relationships/queryTable" Target="../queryTables/queryTable34.xml"/><Relationship Id="rId42" Type="http://schemas.openxmlformats.org/officeDocument/2006/relationships/queryTable" Target="../queryTables/queryTable42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33" Type="http://schemas.openxmlformats.org/officeDocument/2006/relationships/queryTable" Target="../queryTables/queryTable33.xml"/><Relationship Id="rId38" Type="http://schemas.openxmlformats.org/officeDocument/2006/relationships/queryTable" Target="../queryTables/queryTable38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20" Type="http://schemas.openxmlformats.org/officeDocument/2006/relationships/queryTable" Target="../queryTables/queryTable20.xml"/><Relationship Id="rId29" Type="http://schemas.openxmlformats.org/officeDocument/2006/relationships/queryTable" Target="../queryTables/queryTable29.xml"/><Relationship Id="rId41" Type="http://schemas.openxmlformats.org/officeDocument/2006/relationships/queryTable" Target="../queryTables/queryTable41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24" Type="http://schemas.openxmlformats.org/officeDocument/2006/relationships/queryTable" Target="../queryTables/queryTable24.xml"/><Relationship Id="rId32" Type="http://schemas.openxmlformats.org/officeDocument/2006/relationships/queryTable" Target="../queryTables/queryTable32.xml"/><Relationship Id="rId37" Type="http://schemas.openxmlformats.org/officeDocument/2006/relationships/queryTable" Target="../queryTables/queryTable37.xml"/><Relationship Id="rId40" Type="http://schemas.openxmlformats.org/officeDocument/2006/relationships/queryTable" Target="../queryTables/queryTable40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36" Type="http://schemas.openxmlformats.org/officeDocument/2006/relationships/queryTable" Target="../queryTables/queryTable36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31" Type="http://schemas.openxmlformats.org/officeDocument/2006/relationships/queryTable" Target="../queryTables/queryTable31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Relationship Id="rId22" Type="http://schemas.openxmlformats.org/officeDocument/2006/relationships/queryTable" Target="../queryTables/queryTable22.xml"/><Relationship Id="rId27" Type="http://schemas.openxmlformats.org/officeDocument/2006/relationships/queryTable" Target="../queryTables/queryTable27.xml"/><Relationship Id="rId30" Type="http://schemas.openxmlformats.org/officeDocument/2006/relationships/queryTable" Target="../queryTables/queryTable30.xml"/><Relationship Id="rId35" Type="http://schemas.openxmlformats.org/officeDocument/2006/relationships/queryTable" Target="../queryTables/query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70"/>
  <sheetViews>
    <sheetView tabSelected="1" workbookViewId="0">
      <selection activeCell="C1" sqref="C1"/>
    </sheetView>
  </sheetViews>
  <sheetFormatPr defaultRowHeight="12.75" x14ac:dyDescent="0.2"/>
  <cols>
    <col min="1" max="5" width="12.7109375" style="1" customWidth="1"/>
  </cols>
  <sheetData>
    <row r="1" spans="1:12" x14ac:dyDescent="0.2">
      <c r="A1" s="1" t="s">
        <v>12</v>
      </c>
      <c r="B1" s="1" t="s">
        <v>12</v>
      </c>
      <c r="C1" s="1" t="s">
        <v>12</v>
      </c>
      <c r="D1" s="1" t="s">
        <v>12</v>
      </c>
      <c r="E1" s="1" t="s">
        <v>12</v>
      </c>
    </row>
    <row r="2" spans="1:12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">
      <c r="A3" s="2">
        <v>43103</v>
      </c>
      <c r="B3" s="1">
        <v>88.46</v>
      </c>
      <c r="C3" s="1">
        <v>88.89</v>
      </c>
      <c r="D3" s="1">
        <v>88.16</v>
      </c>
      <c r="E3" s="1">
        <v>88.55</v>
      </c>
      <c r="F3">
        <f>ABS(C3-D3)</f>
        <v>0.73000000000000398</v>
      </c>
    </row>
    <row r="4" spans="1:12" x14ac:dyDescent="0.2">
      <c r="A4" s="2">
        <v>43104</v>
      </c>
      <c r="B4" s="1">
        <v>88.5</v>
      </c>
      <c r="C4" s="1">
        <v>89.09</v>
      </c>
      <c r="D4" s="1">
        <v>88.37</v>
      </c>
      <c r="E4" s="1">
        <v>88.96</v>
      </c>
      <c r="F4">
        <f t="shared" ref="F4:F35" si="0">MAX(ABS(D4-E3),ABS(C4-E3),ABS(C4-D4))</f>
        <v>0.71999999999999886</v>
      </c>
    </row>
    <row r="5" spans="1:12" x14ac:dyDescent="0.2">
      <c r="A5" s="2">
        <v>43105</v>
      </c>
      <c r="B5" s="1">
        <v>88.31</v>
      </c>
      <c r="C5" s="1">
        <v>88.49</v>
      </c>
      <c r="D5" s="1">
        <v>87.57</v>
      </c>
      <c r="E5" s="1">
        <v>87.93</v>
      </c>
      <c r="F5">
        <f t="shared" si="0"/>
        <v>1.3900000000000006</v>
      </c>
    </row>
    <row r="6" spans="1:12" x14ac:dyDescent="0.2">
      <c r="A6" s="2">
        <v>43106</v>
      </c>
      <c r="B6" s="1">
        <v>87.82</v>
      </c>
      <c r="C6" s="1">
        <v>88.48</v>
      </c>
      <c r="D6" s="1">
        <v>87.29</v>
      </c>
      <c r="E6" s="1">
        <v>88.48</v>
      </c>
      <c r="F6">
        <f t="shared" si="0"/>
        <v>1.1899999999999977</v>
      </c>
    </row>
    <row r="7" spans="1:12" x14ac:dyDescent="0.2">
      <c r="A7" s="2">
        <v>43107</v>
      </c>
      <c r="B7" s="1">
        <v>88.4</v>
      </c>
      <c r="C7" s="1">
        <v>88.54</v>
      </c>
      <c r="D7" s="1">
        <v>87.75</v>
      </c>
      <c r="E7" s="1">
        <v>88.14</v>
      </c>
      <c r="F7">
        <f t="shared" si="0"/>
        <v>0.79000000000000625</v>
      </c>
    </row>
    <row r="8" spans="1:12" x14ac:dyDescent="0.2">
      <c r="A8" s="2">
        <v>43108</v>
      </c>
      <c r="B8" s="1">
        <v>88.75</v>
      </c>
      <c r="C8" s="1">
        <v>89.48</v>
      </c>
      <c r="D8" s="1">
        <v>88.37</v>
      </c>
      <c r="E8" s="1">
        <v>89.1</v>
      </c>
      <c r="F8">
        <f t="shared" si="0"/>
        <v>1.3400000000000034</v>
      </c>
    </row>
    <row r="9" spans="1:12" x14ac:dyDescent="0.2">
      <c r="A9" s="2">
        <v>43109</v>
      </c>
      <c r="B9" s="1">
        <v>88.97</v>
      </c>
      <c r="C9" s="1">
        <v>89.71</v>
      </c>
      <c r="D9" s="1">
        <v>88.86</v>
      </c>
      <c r="E9" s="1">
        <v>89.61</v>
      </c>
      <c r="F9">
        <f t="shared" si="0"/>
        <v>0.84999999999999432</v>
      </c>
    </row>
    <row r="10" spans="1:12" x14ac:dyDescent="0.2">
      <c r="A10" s="2">
        <v>43110</v>
      </c>
      <c r="B10" s="1">
        <v>89.46</v>
      </c>
      <c r="C10" s="1">
        <v>89.75</v>
      </c>
      <c r="D10" s="1">
        <v>89.32</v>
      </c>
      <c r="E10" s="1">
        <v>89.58</v>
      </c>
      <c r="F10">
        <f t="shared" si="0"/>
        <v>0.43000000000000682</v>
      </c>
    </row>
    <row r="11" spans="1:12" x14ac:dyDescent="0.2">
      <c r="A11" s="2">
        <v>43111</v>
      </c>
      <c r="B11" s="1">
        <v>89.18</v>
      </c>
      <c r="C11" s="1">
        <v>89.61</v>
      </c>
      <c r="D11" s="1">
        <v>89</v>
      </c>
      <c r="E11" s="1">
        <v>89.53</v>
      </c>
      <c r="F11">
        <f t="shared" si="0"/>
        <v>0.60999999999999943</v>
      </c>
    </row>
    <row r="12" spans="1:12" x14ac:dyDescent="0.2">
      <c r="A12" s="2">
        <v>43112</v>
      </c>
      <c r="B12" s="1">
        <v>89.16</v>
      </c>
      <c r="C12" s="1">
        <v>89.48</v>
      </c>
      <c r="D12" s="1">
        <v>89.07</v>
      </c>
      <c r="E12" s="1">
        <v>89.47</v>
      </c>
      <c r="F12">
        <f t="shared" si="0"/>
        <v>0.46000000000000796</v>
      </c>
    </row>
    <row r="13" spans="1:12" x14ac:dyDescent="0.2">
      <c r="A13" s="2">
        <v>43113</v>
      </c>
      <c r="B13" s="1">
        <v>89.76</v>
      </c>
      <c r="C13" s="1">
        <v>90.94</v>
      </c>
      <c r="D13" s="1">
        <v>89.6</v>
      </c>
      <c r="E13" s="1">
        <v>90.2</v>
      </c>
      <c r="F13">
        <f t="shared" si="0"/>
        <v>1.4699999999999989</v>
      </c>
    </row>
    <row r="14" spans="1:12" x14ac:dyDescent="0.2">
      <c r="A14" s="2">
        <v>43114</v>
      </c>
      <c r="B14" s="1">
        <v>90.09</v>
      </c>
      <c r="C14" s="1">
        <v>90.83</v>
      </c>
      <c r="D14" s="1">
        <v>89.83</v>
      </c>
      <c r="E14" s="1">
        <v>90.8</v>
      </c>
      <c r="F14">
        <f t="shared" si="0"/>
        <v>1</v>
      </c>
      <c r="H14">
        <f>AVERAGE(E3:E14)</f>
        <v>89.19583333333334</v>
      </c>
    </row>
    <row r="15" spans="1:12" x14ac:dyDescent="0.2">
      <c r="A15" s="2">
        <v>43115</v>
      </c>
      <c r="B15" s="1">
        <v>90.27</v>
      </c>
      <c r="C15" s="1">
        <v>90.94</v>
      </c>
      <c r="D15" s="1">
        <v>90.21</v>
      </c>
      <c r="E15" s="1">
        <v>90.92</v>
      </c>
      <c r="F15">
        <f t="shared" si="0"/>
        <v>0.73000000000000398</v>
      </c>
      <c r="H15">
        <f t="shared" ref="H15:H46" si="1">E15*(2/(12+1)) + H14 * (1-(2/(12+1)))</f>
        <v>89.461089743589753</v>
      </c>
    </row>
    <row r="16" spans="1:12" x14ac:dyDescent="0.2">
      <c r="A16" s="2">
        <v>43116</v>
      </c>
      <c r="B16" s="1">
        <v>90.5</v>
      </c>
      <c r="C16" s="1">
        <v>90.88</v>
      </c>
      <c r="D16" s="1">
        <v>90.42</v>
      </c>
      <c r="E16" s="1">
        <v>90.7</v>
      </c>
      <c r="F16">
        <f t="shared" si="0"/>
        <v>0.5</v>
      </c>
      <c r="G16">
        <f>AVERAGE(F3:F16)</f>
        <v>0.87214285714285877</v>
      </c>
      <c r="H16">
        <f t="shared" si="1"/>
        <v>89.65169132149903</v>
      </c>
    </row>
    <row r="17" spans="1:10" x14ac:dyDescent="0.2">
      <c r="A17" s="2">
        <v>43117</v>
      </c>
      <c r="B17" s="1">
        <v>90.88</v>
      </c>
      <c r="C17" s="1">
        <v>91.72</v>
      </c>
      <c r="D17" s="1">
        <v>90.75</v>
      </c>
      <c r="E17" s="1">
        <v>91.35</v>
      </c>
      <c r="F17">
        <f t="shared" si="0"/>
        <v>1.019999999999996</v>
      </c>
      <c r="G17">
        <f t="shared" ref="G17:G48" si="2">(G16*13+F17)/14</f>
        <v>0.88270408163265424</v>
      </c>
      <c r="H17">
        <f t="shared" si="1"/>
        <v>89.912969579729946</v>
      </c>
    </row>
    <row r="18" spans="1:10" x14ac:dyDescent="0.2">
      <c r="A18" s="2">
        <v>43118</v>
      </c>
      <c r="B18" s="1">
        <v>91.57</v>
      </c>
      <c r="C18" s="1">
        <v>91.8</v>
      </c>
      <c r="D18" s="1">
        <v>91.13</v>
      </c>
      <c r="E18" s="1">
        <v>91.73</v>
      </c>
      <c r="F18">
        <f t="shared" si="0"/>
        <v>0.67000000000000171</v>
      </c>
      <c r="G18">
        <f t="shared" si="2"/>
        <v>0.86751093294460768</v>
      </c>
      <c r="H18">
        <f t="shared" si="1"/>
        <v>90.192512721309953</v>
      </c>
    </row>
    <row r="19" spans="1:10" x14ac:dyDescent="0.2">
      <c r="A19" s="2">
        <v>43119</v>
      </c>
      <c r="B19" s="1">
        <v>91.67</v>
      </c>
      <c r="C19" s="1">
        <v>91.67</v>
      </c>
      <c r="D19" s="1">
        <v>90.77</v>
      </c>
      <c r="E19" s="1">
        <v>91.11</v>
      </c>
      <c r="F19">
        <f t="shared" si="0"/>
        <v>0.96000000000000796</v>
      </c>
      <c r="G19">
        <f t="shared" si="2"/>
        <v>0.8741172948771363</v>
      </c>
      <c r="H19">
        <f t="shared" si="1"/>
        <v>90.333664610339184</v>
      </c>
    </row>
    <row r="20" spans="1:10" x14ac:dyDescent="0.2">
      <c r="A20" s="2">
        <v>43120</v>
      </c>
      <c r="B20" s="1">
        <v>91.21</v>
      </c>
      <c r="C20" s="1">
        <v>91.93</v>
      </c>
      <c r="D20" s="1">
        <v>91.2</v>
      </c>
      <c r="E20" s="1">
        <v>91.76</v>
      </c>
      <c r="F20">
        <f t="shared" si="0"/>
        <v>0.82000000000000739</v>
      </c>
      <c r="G20">
        <f t="shared" si="2"/>
        <v>0.87025177381448426</v>
      </c>
      <c r="H20">
        <f t="shared" si="1"/>
        <v>90.553100824133168</v>
      </c>
    </row>
    <row r="21" spans="1:10" x14ac:dyDescent="0.2">
      <c r="A21" s="2">
        <v>43121</v>
      </c>
      <c r="B21" s="1">
        <v>91.17</v>
      </c>
      <c r="C21" s="1">
        <v>91.72</v>
      </c>
      <c r="D21" s="1">
        <v>90.38</v>
      </c>
      <c r="E21" s="1">
        <v>90.67</v>
      </c>
      <c r="F21">
        <f t="shared" si="0"/>
        <v>1.3800000000000097</v>
      </c>
      <c r="G21">
        <f t="shared" si="2"/>
        <v>0.90666236139916467</v>
      </c>
      <c r="H21">
        <f t="shared" si="1"/>
        <v>90.571085312728059</v>
      </c>
    </row>
    <row r="22" spans="1:10" x14ac:dyDescent="0.2">
      <c r="A22" s="2">
        <v>43122</v>
      </c>
      <c r="B22" s="1">
        <v>90.69</v>
      </c>
      <c r="C22" s="1">
        <v>91.21</v>
      </c>
      <c r="D22" s="1">
        <v>89.74</v>
      </c>
      <c r="E22" s="1">
        <v>89.97</v>
      </c>
      <c r="F22">
        <f t="shared" si="0"/>
        <v>1.4699999999999989</v>
      </c>
      <c r="G22">
        <f t="shared" si="2"/>
        <v>0.94690076415636704</v>
      </c>
      <c r="H22">
        <f t="shared" si="1"/>
        <v>90.478610649231427</v>
      </c>
    </row>
    <row r="23" spans="1:10" x14ac:dyDescent="0.2">
      <c r="A23" s="2">
        <v>43123</v>
      </c>
      <c r="B23" s="1">
        <v>90.44</v>
      </c>
      <c r="C23" s="1">
        <v>90.5</v>
      </c>
      <c r="D23" s="1">
        <v>89.36</v>
      </c>
      <c r="E23" s="1">
        <v>90.04</v>
      </c>
      <c r="F23">
        <f t="shared" si="0"/>
        <v>1.1400000000000006</v>
      </c>
      <c r="G23">
        <f t="shared" si="2"/>
        <v>0.96069356671662653</v>
      </c>
      <c r="H23">
        <f t="shared" si="1"/>
        <v>90.411132087811211</v>
      </c>
    </row>
    <row r="24" spans="1:10" x14ac:dyDescent="0.2">
      <c r="A24" s="2">
        <v>43124</v>
      </c>
      <c r="B24" s="1">
        <v>89.41</v>
      </c>
      <c r="C24" s="1">
        <v>89.62</v>
      </c>
      <c r="D24" s="1">
        <v>88.84</v>
      </c>
      <c r="E24" s="1">
        <v>89.15</v>
      </c>
      <c r="F24">
        <f t="shared" si="0"/>
        <v>1.2000000000000028</v>
      </c>
      <c r="G24">
        <f t="shared" si="2"/>
        <v>0.97778688337972486</v>
      </c>
      <c r="H24">
        <f t="shared" si="1"/>
        <v>90.217111766609491</v>
      </c>
    </row>
    <row r="25" spans="1:10" x14ac:dyDescent="0.2">
      <c r="A25" s="2">
        <v>43125</v>
      </c>
      <c r="B25" s="1">
        <v>89.88</v>
      </c>
      <c r="C25" s="1">
        <v>90.19</v>
      </c>
      <c r="D25" s="1">
        <v>89.42</v>
      </c>
      <c r="E25" s="1">
        <v>89.74</v>
      </c>
      <c r="F25">
        <f t="shared" si="0"/>
        <v>1.039999999999992</v>
      </c>
      <c r="G25">
        <f t="shared" si="2"/>
        <v>0.98223067742402959</v>
      </c>
      <c r="H25">
        <f t="shared" si="1"/>
        <v>90.143709956361874</v>
      </c>
    </row>
    <row r="26" spans="1:10" x14ac:dyDescent="0.2">
      <c r="A26" s="2">
        <v>43126</v>
      </c>
      <c r="B26" s="1">
        <v>89.37</v>
      </c>
      <c r="C26" s="1">
        <v>89.89</v>
      </c>
      <c r="D26" s="1">
        <v>89.16</v>
      </c>
      <c r="E26" s="1">
        <v>89.79</v>
      </c>
      <c r="F26">
        <f t="shared" si="0"/>
        <v>0.73000000000000398</v>
      </c>
      <c r="G26">
        <f t="shared" si="2"/>
        <v>0.96421420046517059</v>
      </c>
      <c r="H26">
        <f t="shared" si="1"/>
        <v>90.089293039998509</v>
      </c>
    </row>
    <row r="27" spans="1:10" x14ac:dyDescent="0.2">
      <c r="A27" s="2">
        <v>43127</v>
      </c>
      <c r="B27" s="1">
        <v>89.21</v>
      </c>
      <c r="C27" s="1">
        <v>89.22</v>
      </c>
      <c r="D27" s="1">
        <v>87.61</v>
      </c>
      <c r="E27" s="1">
        <v>88.25</v>
      </c>
      <c r="F27">
        <f t="shared" si="0"/>
        <v>2.1800000000000068</v>
      </c>
      <c r="G27">
        <f t="shared" si="2"/>
        <v>1.0510560432890874</v>
      </c>
      <c r="H27">
        <f t="shared" si="1"/>
        <v>89.806324879998741</v>
      </c>
    </row>
    <row r="28" spans="1:10" x14ac:dyDescent="0.2">
      <c r="A28" s="2">
        <v>43128</v>
      </c>
      <c r="B28" s="1">
        <v>88.5</v>
      </c>
      <c r="C28" s="1">
        <v>88.8</v>
      </c>
      <c r="D28" s="1">
        <v>88.11</v>
      </c>
      <c r="E28" s="1">
        <v>88.61</v>
      </c>
      <c r="F28">
        <f t="shared" si="0"/>
        <v>0.68999999999999773</v>
      </c>
      <c r="G28">
        <f t="shared" si="2"/>
        <v>1.0252663259112953</v>
      </c>
      <c r="H28">
        <f t="shared" si="1"/>
        <v>89.622274898460475</v>
      </c>
      <c r="I28">
        <f>AVERAGE(E3:E28)</f>
        <v>89.774615384615402</v>
      </c>
      <c r="J28">
        <f t="shared" ref="J28:J59" si="3">H28 - I28</f>
        <v>-0.15234048615492668</v>
      </c>
    </row>
    <row r="29" spans="1:10" x14ac:dyDescent="0.2">
      <c r="A29" s="2">
        <v>43129</v>
      </c>
      <c r="B29" s="1">
        <v>88.35</v>
      </c>
      <c r="C29" s="1">
        <v>88.51</v>
      </c>
      <c r="D29" s="1">
        <v>87.97</v>
      </c>
      <c r="E29" s="1">
        <v>88.28</v>
      </c>
      <c r="F29">
        <f t="shared" si="0"/>
        <v>0.64000000000000057</v>
      </c>
      <c r="G29">
        <f t="shared" si="2"/>
        <v>0.99774730263191713</v>
      </c>
      <c r="H29">
        <f t="shared" si="1"/>
        <v>89.415771067928091</v>
      </c>
      <c r="I29">
        <f t="shared" ref="I29:I60" si="4">E29*(2/(26+1)) + I28 * (1-(2/(26+1)))</f>
        <v>89.663903133903148</v>
      </c>
      <c r="J29">
        <f t="shared" si="3"/>
        <v>-0.24813206597505655</v>
      </c>
    </row>
    <row r="30" spans="1:10" x14ac:dyDescent="0.2">
      <c r="A30" s="2">
        <v>43130</v>
      </c>
      <c r="B30" s="1">
        <v>88.25</v>
      </c>
      <c r="C30" s="1">
        <v>88.62</v>
      </c>
      <c r="D30" s="1">
        <v>87.92</v>
      </c>
      <c r="E30" s="1">
        <v>88.46</v>
      </c>
      <c r="F30">
        <f t="shared" si="0"/>
        <v>0.70000000000000284</v>
      </c>
      <c r="G30">
        <f t="shared" si="2"/>
        <v>0.97647963815820904</v>
      </c>
      <c r="H30">
        <f t="shared" si="1"/>
        <v>89.268729365169918</v>
      </c>
      <c r="I30">
        <f t="shared" si="4"/>
        <v>89.574725123984393</v>
      </c>
      <c r="J30">
        <f t="shared" si="3"/>
        <v>-0.30599575881447549</v>
      </c>
    </row>
    <row r="31" spans="1:10" x14ac:dyDescent="0.2">
      <c r="A31" s="2">
        <v>43131</v>
      </c>
      <c r="B31" s="1">
        <v>88.46</v>
      </c>
      <c r="C31" s="1">
        <v>88.77</v>
      </c>
      <c r="D31" s="1">
        <v>88.24</v>
      </c>
      <c r="E31" s="1">
        <v>88.67</v>
      </c>
      <c r="F31">
        <f t="shared" si="0"/>
        <v>0.53000000000000114</v>
      </c>
      <c r="G31">
        <f t="shared" si="2"/>
        <v>0.94458823543262282</v>
      </c>
      <c r="H31">
        <f t="shared" si="1"/>
        <v>89.176617155143774</v>
      </c>
      <c r="I31">
        <f t="shared" si="4"/>
        <v>89.507708448133698</v>
      </c>
      <c r="J31">
        <f t="shared" si="3"/>
        <v>-0.33109129298992457</v>
      </c>
    </row>
    <row r="32" spans="1:10" x14ac:dyDescent="0.2">
      <c r="A32" s="2">
        <v>43132</v>
      </c>
      <c r="B32" s="1">
        <v>88.34</v>
      </c>
      <c r="C32" s="1">
        <v>88.81</v>
      </c>
      <c r="D32" s="1">
        <v>88.06</v>
      </c>
      <c r="E32" s="1">
        <v>88.52</v>
      </c>
      <c r="F32">
        <f t="shared" si="0"/>
        <v>0.75</v>
      </c>
      <c r="G32">
        <f t="shared" si="2"/>
        <v>0.93068907575886406</v>
      </c>
      <c r="H32">
        <f t="shared" si="1"/>
        <v>89.07559913127551</v>
      </c>
      <c r="I32">
        <f t="shared" si="4"/>
        <v>89.434544859383053</v>
      </c>
      <c r="J32">
        <f t="shared" si="3"/>
        <v>-0.35894572810754255</v>
      </c>
    </row>
    <row r="33" spans="1:12" x14ac:dyDescent="0.2">
      <c r="A33" s="2">
        <v>43133</v>
      </c>
      <c r="B33" s="1">
        <v>88.57</v>
      </c>
      <c r="C33" s="1">
        <v>88.61</v>
      </c>
      <c r="D33" s="1">
        <v>87.8</v>
      </c>
      <c r="E33" s="1">
        <v>88.36</v>
      </c>
      <c r="F33">
        <f t="shared" si="0"/>
        <v>0.81000000000000227</v>
      </c>
      <c r="G33">
        <f t="shared" si="2"/>
        <v>0.92206842749037399</v>
      </c>
      <c r="H33">
        <f t="shared" si="1"/>
        <v>88.965506957233131</v>
      </c>
      <c r="I33">
        <f t="shared" si="4"/>
        <v>89.354948943873197</v>
      </c>
      <c r="J33">
        <f t="shared" si="3"/>
        <v>-0.38944198664006535</v>
      </c>
    </row>
    <row r="34" spans="1:12" x14ac:dyDescent="0.2">
      <c r="A34" s="2">
        <v>43134</v>
      </c>
      <c r="B34" s="1">
        <v>88.54</v>
      </c>
      <c r="C34" s="1">
        <v>89.41</v>
      </c>
      <c r="D34" s="1">
        <v>88.38</v>
      </c>
      <c r="E34" s="1">
        <v>89.32</v>
      </c>
      <c r="F34">
        <f t="shared" si="0"/>
        <v>1.0499999999999972</v>
      </c>
      <c r="G34">
        <f t="shared" si="2"/>
        <v>0.93120639695534713</v>
      </c>
      <c r="H34">
        <f t="shared" si="1"/>
        <v>89.02004434842803</v>
      </c>
      <c r="I34">
        <f t="shared" si="4"/>
        <v>89.352360133215925</v>
      </c>
      <c r="J34">
        <f t="shared" si="3"/>
        <v>-0.33231578478789459</v>
      </c>
    </row>
    <row r="35" spans="1:12" x14ac:dyDescent="0.2">
      <c r="A35" s="2">
        <v>43135</v>
      </c>
      <c r="B35" s="1">
        <v>89.14</v>
      </c>
      <c r="C35" s="1">
        <v>89.82</v>
      </c>
      <c r="D35" s="1">
        <v>88.9</v>
      </c>
      <c r="E35" s="1">
        <v>88.97</v>
      </c>
      <c r="F35">
        <f t="shared" si="0"/>
        <v>0.91999999999998749</v>
      </c>
      <c r="G35">
        <f t="shared" si="2"/>
        <v>0.93040594002996435</v>
      </c>
      <c r="H35">
        <f t="shared" si="1"/>
        <v>89.012345217900645</v>
      </c>
      <c r="I35">
        <f t="shared" si="4"/>
        <v>89.324037160385117</v>
      </c>
      <c r="J35">
        <f t="shared" si="3"/>
        <v>-0.31169194248447241</v>
      </c>
    </row>
    <row r="36" spans="1:12" x14ac:dyDescent="0.2">
      <c r="A36" s="2">
        <v>43136</v>
      </c>
      <c r="B36" s="1">
        <v>88.79</v>
      </c>
      <c r="C36" s="1">
        <v>89.02</v>
      </c>
      <c r="D36" s="1">
        <v>88.36</v>
      </c>
      <c r="E36" s="1">
        <v>88.59</v>
      </c>
      <c r="F36">
        <f t="shared" ref="F36:F67" si="5">MAX(ABS(D36-E35),ABS(C36-E35),ABS(C36-D36))</f>
        <v>0.65999999999999659</v>
      </c>
      <c r="G36">
        <f t="shared" si="2"/>
        <v>0.91109123002782388</v>
      </c>
      <c r="H36">
        <f t="shared" si="1"/>
        <v>88.94736903053132</v>
      </c>
      <c r="I36">
        <f t="shared" si="4"/>
        <v>89.269664037393625</v>
      </c>
      <c r="J36">
        <f t="shared" si="3"/>
        <v>-0.32229500686230494</v>
      </c>
      <c r="K36">
        <f>AVERAGE(J28:J36)</f>
        <v>-0.30580556142407367</v>
      </c>
      <c r="L36">
        <f t="shared" ref="L36:L67" si="6">J36 - K36</f>
        <v>-1.6489445438231276E-2</v>
      </c>
    </row>
    <row r="37" spans="1:12" x14ac:dyDescent="0.2">
      <c r="A37" s="2">
        <v>43137</v>
      </c>
      <c r="B37" s="1">
        <v>89.02</v>
      </c>
      <c r="C37" s="1">
        <v>89.28</v>
      </c>
      <c r="D37" s="1">
        <v>88.4</v>
      </c>
      <c r="E37" s="1">
        <v>89.2</v>
      </c>
      <c r="F37">
        <f t="shared" si="5"/>
        <v>0.87999999999999545</v>
      </c>
      <c r="G37">
        <f t="shared" si="2"/>
        <v>0.908870427882979</v>
      </c>
      <c r="H37">
        <f t="shared" si="1"/>
        <v>88.986235333526508</v>
      </c>
      <c r="I37">
        <f t="shared" si="4"/>
        <v>89.264503738327434</v>
      </c>
      <c r="J37">
        <f t="shared" si="3"/>
        <v>-0.27826840480092585</v>
      </c>
      <c r="K37">
        <f t="shared" ref="K37:K68" si="7">J37*(2/(9+1)) + K36 * (1-(2/(9+1)))</f>
        <v>-0.30029813009944412</v>
      </c>
      <c r="L37">
        <f t="shared" si="6"/>
        <v>2.2029725298518266E-2</v>
      </c>
    </row>
    <row r="38" spans="1:12" x14ac:dyDescent="0.2">
      <c r="A38" s="2">
        <v>43138</v>
      </c>
      <c r="B38" s="1">
        <v>89.88</v>
      </c>
      <c r="C38" s="1">
        <v>90.19</v>
      </c>
      <c r="D38" s="1">
        <v>87.7</v>
      </c>
      <c r="E38" s="1">
        <v>87.7</v>
      </c>
      <c r="F38">
        <f t="shared" si="5"/>
        <v>2.4899999999999949</v>
      </c>
      <c r="G38">
        <f t="shared" si="2"/>
        <v>1.0218082544627658</v>
      </c>
      <c r="H38">
        <f t="shared" si="1"/>
        <v>88.788352974522425</v>
      </c>
      <c r="I38">
        <f t="shared" si="4"/>
        <v>89.148614572525403</v>
      </c>
      <c r="J38">
        <f t="shared" si="3"/>
        <v>-0.36026159800297819</v>
      </c>
      <c r="K38">
        <f t="shared" si="7"/>
        <v>-0.31229082368015093</v>
      </c>
      <c r="L38">
        <f t="shared" si="6"/>
        <v>-4.7970774322827259E-2</v>
      </c>
    </row>
    <row r="39" spans="1:12" x14ac:dyDescent="0.2">
      <c r="A39" s="2">
        <v>43139</v>
      </c>
      <c r="B39" s="1">
        <v>88.5</v>
      </c>
      <c r="C39" s="1">
        <v>88.98</v>
      </c>
      <c r="D39" s="1">
        <v>87.76</v>
      </c>
      <c r="E39" s="1">
        <v>88.51</v>
      </c>
      <c r="F39">
        <f t="shared" si="5"/>
        <v>1.2800000000000011</v>
      </c>
      <c r="G39">
        <f t="shared" si="2"/>
        <v>1.0402505220011398</v>
      </c>
      <c r="H39">
        <f t="shared" si="1"/>
        <v>88.745529439980515</v>
      </c>
      <c r="I39">
        <f t="shared" si="4"/>
        <v>89.101309789375378</v>
      </c>
      <c r="J39">
        <f t="shared" si="3"/>
        <v>-0.35578034939486258</v>
      </c>
      <c r="K39">
        <f t="shared" si="7"/>
        <v>-0.32098872882309326</v>
      </c>
      <c r="L39">
        <f t="shared" si="6"/>
        <v>-3.4791620571769322E-2</v>
      </c>
    </row>
    <row r="40" spans="1:12" x14ac:dyDescent="0.2">
      <c r="A40" s="2">
        <v>43140</v>
      </c>
      <c r="B40" s="1">
        <v>88.5</v>
      </c>
      <c r="C40" s="1">
        <v>89.65</v>
      </c>
      <c r="D40" s="1">
        <v>88.31</v>
      </c>
      <c r="E40" s="1">
        <v>89.53</v>
      </c>
      <c r="F40">
        <f t="shared" si="5"/>
        <v>1.3400000000000034</v>
      </c>
      <c r="G40">
        <f t="shared" si="2"/>
        <v>1.0616611990010587</v>
      </c>
      <c r="H40">
        <f t="shared" si="1"/>
        <v>88.866217218445044</v>
      </c>
      <c r="I40">
        <f t="shared" si="4"/>
        <v>89.133064619792009</v>
      </c>
      <c r="J40">
        <f t="shared" si="3"/>
        <v>-0.26684740134696483</v>
      </c>
      <c r="K40">
        <f t="shared" si="7"/>
        <v>-0.31016046332786762</v>
      </c>
      <c r="L40">
        <f t="shared" si="6"/>
        <v>4.3313061980902789E-2</v>
      </c>
    </row>
    <row r="41" spans="1:12" x14ac:dyDescent="0.2">
      <c r="A41" s="2">
        <v>43141</v>
      </c>
      <c r="B41" s="1">
        <v>89.67</v>
      </c>
      <c r="C41" s="1">
        <v>89.81</v>
      </c>
      <c r="D41" s="1">
        <v>89.03</v>
      </c>
      <c r="E41" s="1">
        <v>89.55</v>
      </c>
      <c r="F41">
        <f t="shared" si="5"/>
        <v>0.78000000000000114</v>
      </c>
      <c r="G41">
        <f t="shared" si="2"/>
        <v>1.0415425419295545</v>
      </c>
      <c r="H41">
        <f t="shared" si="1"/>
        <v>88.971414569453501</v>
      </c>
      <c r="I41">
        <f t="shared" si="4"/>
        <v>89.16394872202963</v>
      </c>
      <c r="J41">
        <f t="shared" si="3"/>
        <v>-0.19253415257612971</v>
      </c>
      <c r="K41">
        <f t="shared" si="7"/>
        <v>-0.28663520117752006</v>
      </c>
      <c r="L41">
        <f t="shared" si="6"/>
        <v>9.4101048601390347E-2</v>
      </c>
    </row>
    <row r="42" spans="1:12" x14ac:dyDescent="0.2">
      <c r="A42" s="2">
        <v>43142</v>
      </c>
      <c r="B42" s="1">
        <v>89.07</v>
      </c>
      <c r="C42" s="1">
        <v>89.68</v>
      </c>
      <c r="D42" s="1">
        <v>88.92</v>
      </c>
      <c r="E42" s="1">
        <v>89.43</v>
      </c>
      <c r="F42">
        <f t="shared" si="5"/>
        <v>0.76000000000000512</v>
      </c>
      <c r="G42">
        <f t="shared" si="2"/>
        <v>1.0214323603631581</v>
      </c>
      <c r="H42">
        <f t="shared" si="1"/>
        <v>89.041966174152975</v>
      </c>
      <c r="I42">
        <f t="shared" si="4"/>
        <v>89.183656224101512</v>
      </c>
      <c r="J42">
        <f t="shared" si="3"/>
        <v>-0.14169004994853651</v>
      </c>
      <c r="K42">
        <f t="shared" si="7"/>
        <v>-0.25764617093172337</v>
      </c>
      <c r="L42">
        <f t="shared" si="6"/>
        <v>0.11595612098318686</v>
      </c>
    </row>
    <row r="43" spans="1:12" x14ac:dyDescent="0.2">
      <c r="A43" s="2">
        <v>43143</v>
      </c>
      <c r="B43" s="1">
        <v>89.13</v>
      </c>
      <c r="C43" s="1">
        <v>89.25</v>
      </c>
      <c r="D43" s="1">
        <v>88.46</v>
      </c>
      <c r="E43" s="1">
        <v>88.95</v>
      </c>
      <c r="F43">
        <f t="shared" si="5"/>
        <v>0.97000000000001307</v>
      </c>
      <c r="G43">
        <f t="shared" si="2"/>
        <v>1.0177586203372191</v>
      </c>
      <c r="H43">
        <f t="shared" si="1"/>
        <v>89.027817531975586</v>
      </c>
      <c r="I43">
        <f t="shared" si="4"/>
        <v>89.166348355649546</v>
      </c>
      <c r="J43">
        <f t="shared" si="3"/>
        <v>-0.13853082367396041</v>
      </c>
      <c r="K43">
        <f t="shared" si="7"/>
        <v>-0.2338231014801708</v>
      </c>
      <c r="L43">
        <f t="shared" si="6"/>
        <v>9.5292277806210385E-2</v>
      </c>
    </row>
    <row r="44" spans="1:12" x14ac:dyDescent="0.2">
      <c r="A44" s="2">
        <v>43144</v>
      </c>
      <c r="B44" s="1">
        <v>89.48</v>
      </c>
      <c r="C44" s="1">
        <v>90.15</v>
      </c>
      <c r="D44" s="1">
        <v>89.29</v>
      </c>
      <c r="E44" s="1">
        <v>89.61</v>
      </c>
      <c r="F44">
        <f t="shared" si="5"/>
        <v>1.2000000000000028</v>
      </c>
      <c r="G44">
        <f t="shared" si="2"/>
        <v>1.0307758617417035</v>
      </c>
      <c r="H44">
        <f t="shared" si="1"/>
        <v>89.117384065517811</v>
      </c>
      <c r="I44">
        <f t="shared" si="4"/>
        <v>89.199211440416235</v>
      </c>
      <c r="J44">
        <f t="shared" si="3"/>
        <v>-8.1827374898423955E-2</v>
      </c>
      <c r="K44">
        <f t="shared" si="7"/>
        <v>-0.20342395616382145</v>
      </c>
      <c r="L44">
        <f t="shared" si="6"/>
        <v>0.12159658126539749</v>
      </c>
    </row>
    <row r="45" spans="1:12" x14ac:dyDescent="0.2">
      <c r="A45" s="2">
        <v>43145</v>
      </c>
      <c r="B45" s="1">
        <v>89.6</v>
      </c>
      <c r="C45" s="1">
        <v>89.95</v>
      </c>
      <c r="D45" s="1">
        <v>89.05</v>
      </c>
      <c r="E45" s="1">
        <v>89.56</v>
      </c>
      <c r="F45">
        <f t="shared" si="5"/>
        <v>0.90000000000000568</v>
      </c>
      <c r="G45">
        <f t="shared" si="2"/>
        <v>1.0214347287601537</v>
      </c>
      <c r="H45">
        <f t="shared" si="1"/>
        <v>89.18547882466892</v>
      </c>
      <c r="I45">
        <f t="shared" si="4"/>
        <v>89.225936518903922</v>
      </c>
      <c r="J45">
        <f t="shared" si="3"/>
        <v>-4.0457694235001895E-2</v>
      </c>
      <c r="K45">
        <f t="shared" si="7"/>
        <v>-0.17083070377805754</v>
      </c>
      <c r="L45">
        <f t="shared" si="6"/>
        <v>0.13037300954305564</v>
      </c>
    </row>
    <row r="46" spans="1:12" x14ac:dyDescent="0.2">
      <c r="A46" s="2">
        <v>43146</v>
      </c>
      <c r="B46" s="1">
        <v>89.63</v>
      </c>
      <c r="C46" s="1">
        <v>89.76</v>
      </c>
      <c r="D46" s="1">
        <v>88.68</v>
      </c>
      <c r="E46" s="1">
        <v>88.71</v>
      </c>
      <c r="F46">
        <f t="shared" si="5"/>
        <v>1.0799999999999983</v>
      </c>
      <c r="G46">
        <f t="shared" si="2"/>
        <v>1.0256179624201427</v>
      </c>
      <c r="H46">
        <f t="shared" si="1"/>
        <v>89.112328236258321</v>
      </c>
      <c r="I46">
        <f t="shared" si="4"/>
        <v>89.187718998985105</v>
      </c>
      <c r="J46">
        <f t="shared" si="3"/>
        <v>-7.5390762726783578E-2</v>
      </c>
      <c r="K46">
        <f t="shared" si="7"/>
        <v>-0.15174271556780275</v>
      </c>
      <c r="L46">
        <f t="shared" si="6"/>
        <v>7.6351952841019172E-2</v>
      </c>
    </row>
    <row r="47" spans="1:12" x14ac:dyDescent="0.2">
      <c r="A47" s="2">
        <v>43147</v>
      </c>
      <c r="B47" s="1">
        <v>89.01</v>
      </c>
      <c r="C47" s="1">
        <v>89.23</v>
      </c>
      <c r="D47" s="1">
        <v>88.35</v>
      </c>
      <c r="E47" s="1">
        <v>88.97</v>
      </c>
      <c r="F47">
        <f t="shared" si="5"/>
        <v>0.88000000000000966</v>
      </c>
      <c r="G47">
        <f t="shared" si="2"/>
        <v>1.0152166793901332</v>
      </c>
      <c r="H47">
        <f t="shared" ref="H47:H78" si="8">E47*(2/(12+1)) + H46 * (1-(2/(12+1)))</f>
        <v>89.090431584526272</v>
      </c>
      <c r="I47">
        <f t="shared" si="4"/>
        <v>89.17159166572695</v>
      </c>
      <c r="J47">
        <f t="shared" si="3"/>
        <v>-8.1160081200678746E-2</v>
      </c>
      <c r="K47">
        <f t="shared" si="7"/>
        <v>-0.13762618869437795</v>
      </c>
      <c r="L47">
        <f t="shared" si="6"/>
        <v>5.6466107493699208E-2</v>
      </c>
    </row>
    <row r="48" spans="1:12" x14ac:dyDescent="0.2">
      <c r="A48" s="2">
        <v>43148</v>
      </c>
      <c r="B48" s="1">
        <v>89.01</v>
      </c>
      <c r="C48" s="1">
        <v>89.55</v>
      </c>
      <c r="D48" s="1">
        <v>88.54</v>
      </c>
      <c r="E48" s="1">
        <v>89.16</v>
      </c>
      <c r="F48">
        <f t="shared" si="5"/>
        <v>1.0099999999999909</v>
      </c>
      <c r="G48">
        <f t="shared" si="2"/>
        <v>1.0148440594336943</v>
      </c>
      <c r="H48">
        <f t="shared" si="8"/>
        <v>89.101134417676079</v>
      </c>
      <c r="I48">
        <f t="shared" si="4"/>
        <v>89.170733023821242</v>
      </c>
      <c r="J48">
        <f t="shared" si="3"/>
        <v>-6.9598606145163444E-2</v>
      </c>
      <c r="K48">
        <f t="shared" si="7"/>
        <v>-0.12402067218453507</v>
      </c>
      <c r="L48">
        <f t="shared" si="6"/>
        <v>5.4422066039371622E-2</v>
      </c>
    </row>
    <row r="49" spans="1:12" x14ac:dyDescent="0.2">
      <c r="A49" s="2">
        <v>43149</v>
      </c>
      <c r="B49" s="1">
        <v>89.45</v>
      </c>
      <c r="C49" s="1">
        <v>89.91</v>
      </c>
      <c r="D49" s="1">
        <v>89.01</v>
      </c>
      <c r="E49" s="1">
        <v>89.16</v>
      </c>
      <c r="F49">
        <f t="shared" si="5"/>
        <v>0.89999999999999147</v>
      </c>
      <c r="G49">
        <f t="shared" ref="G49:G80" si="9">(G48*13+F49)/14</f>
        <v>1.0066409123312869</v>
      </c>
      <c r="H49">
        <f t="shared" si="8"/>
        <v>89.110190661110536</v>
      </c>
      <c r="I49">
        <f t="shared" si="4"/>
        <v>89.169937985019658</v>
      </c>
      <c r="J49">
        <f t="shared" si="3"/>
        <v>-5.9747323909121519E-2</v>
      </c>
      <c r="K49">
        <f t="shared" si="7"/>
        <v>-0.11116600252945237</v>
      </c>
      <c r="L49">
        <f t="shared" si="6"/>
        <v>5.1418678620330852E-2</v>
      </c>
    </row>
    <row r="50" spans="1:12" x14ac:dyDescent="0.2">
      <c r="A50" s="2">
        <v>43150</v>
      </c>
      <c r="B50" s="1">
        <v>89.02</v>
      </c>
      <c r="C50" s="1">
        <v>89.5</v>
      </c>
      <c r="D50" s="1">
        <v>88.83</v>
      </c>
      <c r="E50" s="1">
        <v>89.26</v>
      </c>
      <c r="F50">
        <f t="shared" si="5"/>
        <v>0.67000000000000171</v>
      </c>
      <c r="G50">
        <f t="shared" si="9"/>
        <v>0.98259513287905231</v>
      </c>
      <c r="H50">
        <f t="shared" si="8"/>
        <v>89.133238251708917</v>
      </c>
      <c r="I50">
        <f t="shared" si="4"/>
        <v>89.176609245388576</v>
      </c>
      <c r="J50">
        <f t="shared" si="3"/>
        <v>-4.3370993679658909E-2</v>
      </c>
      <c r="K50">
        <f t="shared" si="7"/>
        <v>-9.7607000759493689E-2</v>
      </c>
      <c r="L50">
        <f t="shared" si="6"/>
        <v>5.423600707983478E-2</v>
      </c>
    </row>
    <row r="51" spans="1:12" x14ac:dyDescent="0.2">
      <c r="A51" s="2">
        <v>43151</v>
      </c>
      <c r="B51" s="1">
        <v>89.41</v>
      </c>
      <c r="C51" s="1">
        <v>89.91</v>
      </c>
      <c r="D51" s="1">
        <v>89.41</v>
      </c>
      <c r="E51" s="1">
        <v>89.83</v>
      </c>
      <c r="F51">
        <f t="shared" si="5"/>
        <v>0.64999999999999147</v>
      </c>
      <c r="G51">
        <f t="shared" si="9"/>
        <v>0.95883833767340509</v>
      </c>
      <c r="H51">
        <f t="shared" si="8"/>
        <v>89.240432366830618</v>
      </c>
      <c r="I51">
        <f t="shared" si="4"/>
        <v>89.225008560544978</v>
      </c>
      <c r="J51">
        <f t="shared" si="3"/>
        <v>1.542380628563933E-2</v>
      </c>
      <c r="K51">
        <f t="shared" si="7"/>
        <v>-7.5000839350467086E-2</v>
      </c>
      <c r="L51">
        <f t="shared" si="6"/>
        <v>9.0424645636106415E-2</v>
      </c>
    </row>
    <row r="52" spans="1:12" x14ac:dyDescent="0.2">
      <c r="A52" s="2">
        <v>43152</v>
      </c>
      <c r="B52" s="1">
        <v>89.2</v>
      </c>
      <c r="C52" s="1">
        <v>89.61</v>
      </c>
      <c r="D52" s="1">
        <v>88.79</v>
      </c>
      <c r="E52" s="1">
        <v>89.37</v>
      </c>
      <c r="F52">
        <f t="shared" si="5"/>
        <v>1.039999999999992</v>
      </c>
      <c r="G52">
        <f t="shared" si="9"/>
        <v>0.96463559926816134</v>
      </c>
      <c r="H52">
        <f t="shared" si="8"/>
        <v>89.260365848856679</v>
      </c>
      <c r="I52">
        <f t="shared" si="4"/>
        <v>89.235748667171279</v>
      </c>
      <c r="J52">
        <f t="shared" si="3"/>
        <v>2.4617181685400169E-2</v>
      </c>
      <c r="K52">
        <f t="shared" si="7"/>
        <v>-5.5077235143293636E-2</v>
      </c>
      <c r="L52">
        <f t="shared" si="6"/>
        <v>7.9694416828693798E-2</v>
      </c>
    </row>
    <row r="53" spans="1:12" x14ac:dyDescent="0.2">
      <c r="A53" s="2">
        <v>43153</v>
      </c>
      <c r="B53" s="1">
        <v>88.74</v>
      </c>
      <c r="C53" s="1">
        <v>89.39</v>
      </c>
      <c r="D53" s="1">
        <v>88.55</v>
      </c>
      <c r="E53" s="1">
        <v>88.77</v>
      </c>
      <c r="F53">
        <f t="shared" si="5"/>
        <v>0.84000000000000341</v>
      </c>
      <c r="G53">
        <f t="shared" si="9"/>
        <v>0.95573305646329298</v>
      </c>
      <c r="H53">
        <f t="shared" si="8"/>
        <v>89.184924949032578</v>
      </c>
      <c r="I53">
        <f t="shared" si="4"/>
        <v>89.201248765899336</v>
      </c>
      <c r="J53">
        <f t="shared" si="3"/>
        <v>-1.6323816866758989E-2</v>
      </c>
      <c r="K53">
        <f t="shared" si="7"/>
        <v>-4.7326551487986708E-2</v>
      </c>
      <c r="L53">
        <f t="shared" si="6"/>
        <v>3.1002734621227719E-2</v>
      </c>
    </row>
    <row r="54" spans="1:12" x14ac:dyDescent="0.2">
      <c r="A54" s="2">
        <v>43154</v>
      </c>
      <c r="B54" s="1">
        <v>88.89</v>
      </c>
      <c r="C54" s="1">
        <v>89.09</v>
      </c>
      <c r="D54" s="1">
        <v>88.02</v>
      </c>
      <c r="E54" s="1">
        <v>88.58</v>
      </c>
      <c r="F54">
        <f t="shared" si="5"/>
        <v>1.0700000000000074</v>
      </c>
      <c r="G54">
        <f t="shared" si="9"/>
        <v>0.96389498100162974</v>
      </c>
      <c r="H54">
        <f t="shared" si="8"/>
        <v>89.091859572258343</v>
      </c>
      <c r="I54">
        <f t="shared" si="4"/>
        <v>89.155230338795675</v>
      </c>
      <c r="J54">
        <f t="shared" si="3"/>
        <v>-6.3370766537332202E-2</v>
      </c>
      <c r="K54">
        <f t="shared" si="7"/>
        <v>-5.053539449785581E-2</v>
      </c>
      <c r="L54">
        <f t="shared" si="6"/>
        <v>-1.2835372039476392E-2</v>
      </c>
    </row>
    <row r="55" spans="1:12" x14ac:dyDescent="0.2">
      <c r="A55" s="2">
        <v>43155</v>
      </c>
      <c r="B55" s="1">
        <v>88.95</v>
      </c>
      <c r="C55" s="1">
        <v>89.21</v>
      </c>
      <c r="D55" s="1">
        <v>88.3</v>
      </c>
      <c r="E55" s="1">
        <v>88.63</v>
      </c>
      <c r="F55">
        <f t="shared" si="5"/>
        <v>0.90999999999999659</v>
      </c>
      <c r="G55">
        <f t="shared" si="9"/>
        <v>0.96004533950151305</v>
      </c>
      <c r="H55">
        <f t="shared" si="8"/>
        <v>89.02080425344937</v>
      </c>
      <c r="I55">
        <f t="shared" si="4"/>
        <v>89.116324387773773</v>
      </c>
      <c r="J55">
        <f t="shared" si="3"/>
        <v>-9.5520134324402761E-2</v>
      </c>
      <c r="K55">
        <f t="shared" si="7"/>
        <v>-5.9532342463165203E-2</v>
      </c>
      <c r="L55">
        <f t="shared" si="6"/>
        <v>-3.5987791861237559E-2</v>
      </c>
    </row>
    <row r="56" spans="1:12" x14ac:dyDescent="0.2">
      <c r="A56" s="2">
        <v>43156</v>
      </c>
      <c r="B56" s="1">
        <v>88.12</v>
      </c>
      <c r="C56" s="1">
        <v>88.64</v>
      </c>
      <c r="D56" s="1">
        <v>87.9</v>
      </c>
      <c r="E56" s="1">
        <v>88.17</v>
      </c>
      <c r="F56">
        <f t="shared" si="5"/>
        <v>0.73999999999999488</v>
      </c>
      <c r="G56">
        <f t="shared" si="9"/>
        <v>0.94432781525140463</v>
      </c>
      <c r="H56">
        <f t="shared" si="8"/>
        <v>88.88991129138023</v>
      </c>
      <c r="I56">
        <f t="shared" si="4"/>
        <v>89.046226284975717</v>
      </c>
      <c r="J56">
        <f t="shared" si="3"/>
        <v>-0.15631499359548684</v>
      </c>
      <c r="K56">
        <f t="shared" si="7"/>
        <v>-7.8888872689629547E-2</v>
      </c>
      <c r="L56">
        <f t="shared" si="6"/>
        <v>-7.7426120905857293E-2</v>
      </c>
    </row>
    <row r="57" spans="1:12" x14ac:dyDescent="0.2">
      <c r="A57" s="2">
        <v>43157</v>
      </c>
      <c r="B57" s="1">
        <v>88.4</v>
      </c>
      <c r="C57" s="1">
        <v>89.29</v>
      </c>
      <c r="D57" s="1">
        <v>88.32</v>
      </c>
      <c r="E57" s="1">
        <v>89.29</v>
      </c>
      <c r="F57">
        <f t="shared" si="5"/>
        <v>1.1200000000000045</v>
      </c>
      <c r="G57">
        <f t="shared" si="9"/>
        <v>0.95687582844773311</v>
      </c>
      <c r="H57">
        <f t="shared" si="8"/>
        <v>88.951463400398652</v>
      </c>
      <c r="I57">
        <f t="shared" si="4"/>
        <v>89.064283597199733</v>
      </c>
      <c r="J57">
        <f t="shared" si="3"/>
        <v>-0.11282019680108135</v>
      </c>
      <c r="K57">
        <f t="shared" si="7"/>
        <v>-8.5675137511919908E-2</v>
      </c>
      <c r="L57">
        <f t="shared" si="6"/>
        <v>-2.7145059289161444E-2</v>
      </c>
    </row>
    <row r="58" spans="1:12" x14ac:dyDescent="0.2">
      <c r="A58" s="2">
        <v>43158</v>
      </c>
      <c r="B58" s="1">
        <v>89.5</v>
      </c>
      <c r="C58" s="1">
        <v>89.9</v>
      </c>
      <c r="D58" s="1">
        <v>88.66</v>
      </c>
      <c r="E58" s="1">
        <v>89.02</v>
      </c>
      <c r="F58">
        <f t="shared" si="5"/>
        <v>1.2400000000000091</v>
      </c>
      <c r="G58">
        <f t="shared" si="9"/>
        <v>0.97709898355861002</v>
      </c>
      <c r="H58">
        <f t="shared" si="8"/>
        <v>88.962007492645014</v>
      </c>
      <c r="I58">
        <f t="shared" si="4"/>
        <v>89.06100333074049</v>
      </c>
      <c r="J58">
        <f t="shared" si="3"/>
        <v>-9.8995838095476074E-2</v>
      </c>
      <c r="K58">
        <f t="shared" si="7"/>
        <v>-8.8339277628631141E-2</v>
      </c>
      <c r="L58">
        <f t="shared" si="6"/>
        <v>-1.0656560466844933E-2</v>
      </c>
    </row>
    <row r="59" spans="1:12" x14ac:dyDescent="0.2">
      <c r="A59" s="2">
        <v>43159</v>
      </c>
      <c r="B59" s="1">
        <v>89.41</v>
      </c>
      <c r="C59" s="1">
        <v>90.3</v>
      </c>
      <c r="D59" s="1">
        <v>89.36</v>
      </c>
      <c r="E59" s="1">
        <v>90.13</v>
      </c>
      <c r="F59">
        <f t="shared" si="5"/>
        <v>1.2800000000000011</v>
      </c>
      <c r="G59">
        <f t="shared" si="9"/>
        <v>0.99873477044728087</v>
      </c>
      <c r="H59">
        <f t="shared" si="8"/>
        <v>89.141698647622704</v>
      </c>
      <c r="I59">
        <f t="shared" si="4"/>
        <v>89.14018826920416</v>
      </c>
      <c r="J59">
        <f t="shared" si="3"/>
        <v>1.5103784185441782E-3</v>
      </c>
      <c r="K59">
        <f t="shared" si="7"/>
        <v>-7.036934641919608E-2</v>
      </c>
      <c r="L59">
        <f t="shared" si="6"/>
        <v>7.1879724837740258E-2</v>
      </c>
    </row>
    <row r="60" spans="1:12" x14ac:dyDescent="0.2">
      <c r="A60" s="2">
        <v>43160</v>
      </c>
      <c r="B60" s="1">
        <v>89.56</v>
      </c>
      <c r="C60" s="1">
        <v>90.74</v>
      </c>
      <c r="D60" s="1">
        <v>89.47</v>
      </c>
      <c r="E60" s="1">
        <v>90.58</v>
      </c>
      <c r="F60">
        <f t="shared" si="5"/>
        <v>1.269999999999996</v>
      </c>
      <c r="G60">
        <f t="shared" si="9"/>
        <v>1.0181108582724749</v>
      </c>
      <c r="H60">
        <f t="shared" si="8"/>
        <v>89.362975778757672</v>
      </c>
      <c r="I60">
        <f t="shared" si="4"/>
        <v>89.246840990003861</v>
      </c>
      <c r="J60">
        <f t="shared" ref="J60:J91" si="10">H60 - I60</f>
        <v>0.11613478875381134</v>
      </c>
      <c r="K60">
        <f t="shared" si="7"/>
        <v>-3.3068519384594597E-2</v>
      </c>
      <c r="L60">
        <f t="shared" si="6"/>
        <v>0.14920330813840593</v>
      </c>
    </row>
    <row r="61" spans="1:12" x14ac:dyDescent="0.2">
      <c r="A61" s="2">
        <v>43161</v>
      </c>
      <c r="B61" s="1">
        <v>90.64</v>
      </c>
      <c r="C61" s="1">
        <v>90.98</v>
      </c>
      <c r="D61" s="1">
        <v>89.99</v>
      </c>
      <c r="E61" s="1">
        <v>90.11</v>
      </c>
      <c r="F61">
        <f t="shared" si="5"/>
        <v>0.99000000000000909</v>
      </c>
      <c r="G61">
        <f t="shared" si="9"/>
        <v>1.0161029398244417</v>
      </c>
      <c r="H61">
        <f t="shared" si="8"/>
        <v>89.477902582025735</v>
      </c>
      <c r="I61">
        <f t="shared" ref="I61:I92" si="11">E61*(2/(26+1)) + I60 * (1-(2/(26+1)))</f>
        <v>89.310778694448018</v>
      </c>
      <c r="J61">
        <f t="shared" si="10"/>
        <v>0.16712388757771635</v>
      </c>
      <c r="K61">
        <f t="shared" si="7"/>
        <v>6.9699620078675917E-3</v>
      </c>
      <c r="L61">
        <f t="shared" si="6"/>
        <v>0.16015392556984875</v>
      </c>
    </row>
    <row r="62" spans="1:12" x14ac:dyDescent="0.2">
      <c r="A62" s="2">
        <v>43162</v>
      </c>
      <c r="B62" s="1">
        <v>90.13</v>
      </c>
      <c r="C62" s="1">
        <v>90.99</v>
      </c>
      <c r="D62" s="1">
        <v>89.98</v>
      </c>
      <c r="E62" s="1">
        <v>90.77</v>
      </c>
      <c r="F62">
        <f t="shared" si="5"/>
        <v>1.0099999999999909</v>
      </c>
      <c r="G62">
        <f t="shared" si="9"/>
        <v>1.0156670155512666</v>
      </c>
      <c r="H62">
        <f t="shared" si="8"/>
        <v>89.676686800175617</v>
      </c>
      <c r="I62">
        <f t="shared" si="11"/>
        <v>89.418869161525947</v>
      </c>
      <c r="J62">
        <f t="shared" si="10"/>
        <v>0.25781763864966933</v>
      </c>
      <c r="K62">
        <f t="shared" si="7"/>
        <v>5.7139497336227946E-2</v>
      </c>
      <c r="L62">
        <f t="shared" si="6"/>
        <v>0.20067814131344139</v>
      </c>
    </row>
    <row r="63" spans="1:12" x14ac:dyDescent="0.2">
      <c r="A63" s="2">
        <v>43163</v>
      </c>
      <c r="B63" s="1">
        <v>90.59</v>
      </c>
      <c r="C63" s="1">
        <v>90.92</v>
      </c>
      <c r="D63" s="1">
        <v>90.28</v>
      </c>
      <c r="E63" s="1">
        <v>90.58</v>
      </c>
      <c r="F63">
        <f t="shared" si="5"/>
        <v>0.64000000000000057</v>
      </c>
      <c r="G63">
        <f t="shared" si="9"/>
        <v>0.98883365729760464</v>
      </c>
      <c r="H63">
        <f t="shared" si="8"/>
        <v>89.81565806168706</v>
      </c>
      <c r="I63">
        <f t="shared" si="11"/>
        <v>89.504878853264771</v>
      </c>
      <c r="J63">
        <f t="shared" si="10"/>
        <v>0.31077920842228934</v>
      </c>
      <c r="K63">
        <f t="shared" si="7"/>
        <v>0.10786743955344022</v>
      </c>
      <c r="L63">
        <f t="shared" si="6"/>
        <v>0.20291176886884912</v>
      </c>
    </row>
    <row r="64" spans="1:12" x14ac:dyDescent="0.2">
      <c r="A64" s="2">
        <v>43164</v>
      </c>
      <c r="B64" s="1">
        <v>90.65</v>
      </c>
      <c r="C64" s="1">
        <v>90.83</v>
      </c>
      <c r="D64" s="1">
        <v>89.86</v>
      </c>
      <c r="E64" s="1">
        <v>89.93</v>
      </c>
      <c r="F64">
        <f t="shared" si="5"/>
        <v>0.96999999999999886</v>
      </c>
      <c r="G64">
        <f t="shared" si="9"/>
        <v>0.9874883960620614</v>
      </c>
      <c r="H64">
        <f t="shared" si="8"/>
        <v>89.833249129119821</v>
      </c>
      <c r="I64">
        <f t="shared" si="11"/>
        <v>89.5363693085785</v>
      </c>
      <c r="J64">
        <f t="shared" si="10"/>
        <v>0.29687982054132078</v>
      </c>
      <c r="K64">
        <f t="shared" si="7"/>
        <v>0.14566991575101634</v>
      </c>
      <c r="L64">
        <f t="shared" si="6"/>
        <v>0.15120990479030444</v>
      </c>
    </row>
    <row r="65" spans="1:12" x14ac:dyDescent="0.2">
      <c r="A65" s="2">
        <v>43165</v>
      </c>
      <c r="B65" s="1">
        <v>90.1</v>
      </c>
      <c r="C65" s="1">
        <v>90.33</v>
      </c>
      <c r="D65" s="1">
        <v>89.22</v>
      </c>
      <c r="E65" s="1">
        <v>89.77</v>
      </c>
      <c r="F65">
        <f t="shared" si="5"/>
        <v>1.1099999999999994</v>
      </c>
      <c r="G65">
        <f t="shared" si="9"/>
        <v>0.99623922491477124</v>
      </c>
      <c r="H65">
        <f t="shared" si="8"/>
        <v>89.823518493870608</v>
      </c>
      <c r="I65">
        <f t="shared" si="11"/>
        <v>89.553675285720828</v>
      </c>
      <c r="J65">
        <f t="shared" si="10"/>
        <v>0.26984320814977991</v>
      </c>
      <c r="K65">
        <f t="shared" si="7"/>
        <v>0.17050457423076906</v>
      </c>
      <c r="L65">
        <f t="shared" si="6"/>
        <v>9.9338633919010849E-2</v>
      </c>
    </row>
    <row r="66" spans="1:12" x14ac:dyDescent="0.2">
      <c r="A66" s="2">
        <v>43166</v>
      </c>
      <c r="B66" s="1">
        <v>88.61</v>
      </c>
      <c r="C66" s="1">
        <v>89.21</v>
      </c>
      <c r="D66" s="1">
        <v>88.4</v>
      </c>
      <c r="E66" s="1">
        <v>89.01</v>
      </c>
      <c r="F66">
        <f t="shared" si="5"/>
        <v>1.3699999999999903</v>
      </c>
      <c r="G66">
        <f t="shared" si="9"/>
        <v>1.0229364231351441</v>
      </c>
      <c r="H66">
        <f t="shared" si="8"/>
        <v>89.6983618025059</v>
      </c>
      <c r="I66">
        <f t="shared" si="11"/>
        <v>89.513403042334104</v>
      </c>
      <c r="J66">
        <f t="shared" si="10"/>
        <v>0.18495876017179569</v>
      </c>
      <c r="K66">
        <f t="shared" si="7"/>
        <v>0.17339541141897441</v>
      </c>
      <c r="L66">
        <f t="shared" si="6"/>
        <v>1.1563348752821279E-2</v>
      </c>
    </row>
    <row r="67" spans="1:12" x14ac:dyDescent="0.2">
      <c r="A67" s="2">
        <v>43167</v>
      </c>
      <c r="B67" s="1">
        <v>89.11</v>
      </c>
      <c r="C67" s="1">
        <v>89.11</v>
      </c>
      <c r="D67" s="1">
        <v>88.15</v>
      </c>
      <c r="E67" s="1">
        <v>88.6</v>
      </c>
      <c r="F67">
        <f t="shared" si="5"/>
        <v>0.95999999999999375</v>
      </c>
      <c r="G67">
        <f t="shared" si="9"/>
        <v>1.0184409643397763</v>
      </c>
      <c r="H67">
        <f t="shared" si="8"/>
        <v>89.529383063658841</v>
      </c>
      <c r="I67">
        <f t="shared" si="11"/>
        <v>89.445743557716753</v>
      </c>
      <c r="J67">
        <f t="shared" si="10"/>
        <v>8.3639505942088022E-2</v>
      </c>
      <c r="K67">
        <f t="shared" si="7"/>
        <v>0.15544423032359714</v>
      </c>
      <c r="L67">
        <f t="shared" si="6"/>
        <v>-7.1804724381509116E-2</v>
      </c>
    </row>
    <row r="68" spans="1:12" x14ac:dyDescent="0.2">
      <c r="A68" s="2">
        <v>43168</v>
      </c>
      <c r="B68" s="1">
        <v>88.69</v>
      </c>
      <c r="C68" s="1">
        <v>89.34</v>
      </c>
      <c r="D68" s="1">
        <v>88.59</v>
      </c>
      <c r="E68" s="1">
        <v>88.77</v>
      </c>
      <c r="F68">
        <f t="shared" ref="F68:F99" si="12">MAX(ABS(D68-E67),ABS(C68-E67),ABS(C68-D68))</f>
        <v>0.75</v>
      </c>
      <c r="G68">
        <f t="shared" si="9"/>
        <v>0.99926660974407799</v>
      </c>
      <c r="H68">
        <f t="shared" si="8"/>
        <v>89.412554900019018</v>
      </c>
      <c r="I68">
        <f t="shared" si="11"/>
        <v>89.395688479367365</v>
      </c>
      <c r="J68">
        <f t="shared" si="10"/>
        <v>1.6866420651652447E-2</v>
      </c>
      <c r="K68">
        <f t="shared" si="7"/>
        <v>0.12772866838920821</v>
      </c>
      <c r="L68">
        <f t="shared" ref="L68:L99" si="13">J68 - K68</f>
        <v>-0.11086224773755576</v>
      </c>
    </row>
    <row r="69" spans="1:12" x14ac:dyDescent="0.2">
      <c r="A69" s="2">
        <v>43169</v>
      </c>
      <c r="B69" s="1">
        <v>88.45</v>
      </c>
      <c r="C69" s="1">
        <v>89.16</v>
      </c>
      <c r="D69" s="1">
        <v>88.2</v>
      </c>
      <c r="E69" s="1">
        <v>88.68</v>
      </c>
      <c r="F69">
        <f t="shared" si="12"/>
        <v>0.95999999999999375</v>
      </c>
      <c r="G69">
        <f t="shared" si="9"/>
        <v>0.99646185190521486</v>
      </c>
      <c r="H69">
        <f t="shared" si="8"/>
        <v>89.299854146169935</v>
      </c>
      <c r="I69">
        <f t="shared" si="11"/>
        <v>89.34267451793275</v>
      </c>
      <c r="J69">
        <f t="shared" si="10"/>
        <v>-4.2820371762815057E-2</v>
      </c>
      <c r="K69">
        <f t="shared" ref="K69:K100" si="14">J69*(2/(9+1)) + K68 * (1-(2/(9+1)))</f>
        <v>9.3618860358803568E-2</v>
      </c>
      <c r="L69">
        <f t="shared" si="13"/>
        <v>-0.13643923212161863</v>
      </c>
    </row>
    <row r="70" spans="1:12" x14ac:dyDescent="0.2">
      <c r="A70" s="2">
        <v>43170</v>
      </c>
      <c r="B70" s="1">
        <v>88.95</v>
      </c>
      <c r="C70" s="1">
        <v>89.27</v>
      </c>
      <c r="D70" s="1">
        <v>88.23</v>
      </c>
      <c r="E70" s="1">
        <v>89.22</v>
      </c>
      <c r="F70">
        <f t="shared" si="12"/>
        <v>1.039999999999992</v>
      </c>
      <c r="G70">
        <f t="shared" si="9"/>
        <v>0.99957171962627034</v>
      </c>
      <c r="H70">
        <f t="shared" si="8"/>
        <v>89.287568892913029</v>
      </c>
      <c r="I70">
        <f t="shared" si="11"/>
        <v>89.333587516604396</v>
      </c>
      <c r="J70">
        <f t="shared" si="10"/>
        <v>-4.6018623691367111E-2</v>
      </c>
      <c r="K70">
        <f t="shared" si="14"/>
        <v>6.5691363548769435E-2</v>
      </c>
      <c r="L70">
        <f t="shared" si="13"/>
        <v>-0.11170998724013655</v>
      </c>
    </row>
    <row r="71" spans="1:12" x14ac:dyDescent="0.2">
      <c r="A71" s="2">
        <v>43171</v>
      </c>
      <c r="B71" s="1">
        <v>88.88</v>
      </c>
      <c r="C71" s="1">
        <v>89.19</v>
      </c>
      <c r="D71" s="1">
        <v>88.41</v>
      </c>
      <c r="E71" s="1">
        <v>88.99</v>
      </c>
      <c r="F71">
        <f t="shared" si="12"/>
        <v>0.81000000000000227</v>
      </c>
      <c r="G71">
        <f t="shared" si="9"/>
        <v>0.98603088251010829</v>
      </c>
      <c r="H71">
        <f t="shared" si="8"/>
        <v>89.241789063234108</v>
      </c>
      <c r="I71">
        <f t="shared" si="11"/>
        <v>89.308136589448523</v>
      </c>
      <c r="J71">
        <f t="shared" si="10"/>
        <v>-6.6347526214414643E-2</v>
      </c>
      <c r="K71">
        <f t="shared" si="14"/>
        <v>3.9283585596132618E-2</v>
      </c>
      <c r="L71">
        <f t="shared" si="13"/>
        <v>-0.10563111181054727</v>
      </c>
    </row>
    <row r="72" spans="1:12" x14ac:dyDescent="0.2">
      <c r="A72" s="2">
        <v>43172</v>
      </c>
      <c r="B72" s="1">
        <v>88.29</v>
      </c>
      <c r="C72" s="1">
        <v>88.67</v>
      </c>
      <c r="D72" s="1">
        <v>86.27</v>
      </c>
      <c r="E72" s="1">
        <v>86.49</v>
      </c>
      <c r="F72">
        <f t="shared" si="12"/>
        <v>2.7199999999999989</v>
      </c>
      <c r="G72">
        <f t="shared" si="9"/>
        <v>1.1098858194736718</v>
      </c>
      <c r="H72">
        <f t="shared" si="8"/>
        <v>88.818436899659631</v>
      </c>
      <c r="I72">
        <f t="shared" si="11"/>
        <v>89.099385730970852</v>
      </c>
      <c r="J72">
        <f t="shared" si="10"/>
        <v>-0.28094883131122117</v>
      </c>
      <c r="K72">
        <f t="shared" si="14"/>
        <v>-2.4762897785338141E-2</v>
      </c>
      <c r="L72">
        <f t="shared" si="13"/>
        <v>-0.25618593352588304</v>
      </c>
    </row>
    <row r="73" spans="1:12" x14ac:dyDescent="0.2">
      <c r="A73" s="2">
        <v>43173</v>
      </c>
      <c r="B73" s="1">
        <v>87.19</v>
      </c>
      <c r="C73" s="1">
        <v>87.23</v>
      </c>
      <c r="D73" s="1">
        <v>86.09</v>
      </c>
      <c r="E73" s="1">
        <v>86.61</v>
      </c>
      <c r="F73">
        <f t="shared" si="12"/>
        <v>1.1400000000000006</v>
      </c>
      <c r="G73">
        <f t="shared" si="9"/>
        <v>1.1120368323684096</v>
      </c>
      <c r="H73">
        <f t="shared" si="8"/>
        <v>88.478677376635076</v>
      </c>
      <c r="I73">
        <f t="shared" si="11"/>
        <v>88.914986787935973</v>
      </c>
      <c r="J73">
        <f t="shared" si="10"/>
        <v>-0.43630941130089695</v>
      </c>
      <c r="K73">
        <f t="shared" si="14"/>
        <v>-0.1070722004884499</v>
      </c>
      <c r="L73">
        <f t="shared" si="13"/>
        <v>-0.32923721081244706</v>
      </c>
    </row>
    <row r="74" spans="1:12" x14ac:dyDescent="0.2">
      <c r="A74" s="2">
        <v>43174</v>
      </c>
      <c r="B74" s="1">
        <v>86.21</v>
      </c>
      <c r="C74" s="1">
        <v>86.38</v>
      </c>
      <c r="D74" s="1">
        <v>85.02</v>
      </c>
      <c r="E74" s="1">
        <v>86.08</v>
      </c>
      <c r="F74">
        <f t="shared" si="12"/>
        <v>1.5900000000000034</v>
      </c>
      <c r="G74">
        <f t="shared" si="9"/>
        <v>1.1461770586278093</v>
      </c>
      <c r="H74">
        <f t="shared" si="8"/>
        <v>88.109650087921992</v>
      </c>
      <c r="I74">
        <f t="shared" si="11"/>
        <v>88.704987766607388</v>
      </c>
      <c r="J74">
        <f t="shared" si="10"/>
        <v>-0.59533767868539655</v>
      </c>
      <c r="K74">
        <f t="shared" si="14"/>
        <v>-0.20472529612783924</v>
      </c>
      <c r="L74">
        <f t="shared" si="13"/>
        <v>-0.39061238255755731</v>
      </c>
    </row>
    <row r="75" spans="1:12" x14ac:dyDescent="0.2">
      <c r="A75" s="2">
        <v>43175</v>
      </c>
      <c r="B75" s="1">
        <v>86.28</v>
      </c>
      <c r="C75" s="1">
        <v>87.08</v>
      </c>
      <c r="D75" s="1">
        <v>85.78</v>
      </c>
      <c r="E75" s="1">
        <v>86.62</v>
      </c>
      <c r="F75">
        <f t="shared" si="12"/>
        <v>1.2999999999999972</v>
      </c>
      <c r="G75">
        <f t="shared" si="9"/>
        <v>1.1571644115829653</v>
      </c>
      <c r="H75">
        <f t="shared" si="8"/>
        <v>87.880473151318611</v>
      </c>
      <c r="I75">
        <f t="shared" si="11"/>
        <v>88.550544228340172</v>
      </c>
      <c r="J75">
        <f t="shared" si="10"/>
        <v>-0.67007107702156077</v>
      </c>
      <c r="K75">
        <f t="shared" si="14"/>
        <v>-0.29779445230658352</v>
      </c>
      <c r="L75">
        <f t="shared" si="13"/>
        <v>-0.37227662471497724</v>
      </c>
    </row>
    <row r="76" spans="1:12" x14ac:dyDescent="0.2">
      <c r="A76" s="2">
        <v>43176</v>
      </c>
      <c r="B76" s="1">
        <v>87.27</v>
      </c>
      <c r="C76" s="1">
        <v>87.49</v>
      </c>
      <c r="D76" s="1">
        <v>86.43</v>
      </c>
      <c r="E76" s="1">
        <v>87.45</v>
      </c>
      <c r="F76">
        <f t="shared" si="12"/>
        <v>1.0599999999999881</v>
      </c>
      <c r="G76">
        <f t="shared" si="9"/>
        <v>1.1502240964698953</v>
      </c>
      <c r="H76">
        <f t="shared" si="8"/>
        <v>87.814246512654208</v>
      </c>
      <c r="I76">
        <f t="shared" si="11"/>
        <v>88.469022433648306</v>
      </c>
      <c r="J76">
        <f t="shared" si="10"/>
        <v>-0.65477592099409776</v>
      </c>
      <c r="K76">
        <f t="shared" si="14"/>
        <v>-0.36919074604408642</v>
      </c>
      <c r="L76">
        <f t="shared" si="13"/>
        <v>-0.28558517495001134</v>
      </c>
    </row>
    <row r="77" spans="1:12" x14ac:dyDescent="0.2">
      <c r="A77" s="2">
        <v>43177</v>
      </c>
      <c r="B77" s="1">
        <v>87.61</v>
      </c>
      <c r="C77" s="1">
        <v>88.32</v>
      </c>
      <c r="D77" s="1">
        <v>87.29</v>
      </c>
      <c r="E77" s="1">
        <v>88.09</v>
      </c>
      <c r="F77">
        <f t="shared" si="12"/>
        <v>1.0299999999999869</v>
      </c>
      <c r="G77">
        <f t="shared" si="9"/>
        <v>1.1416366610077591</v>
      </c>
      <c r="H77">
        <f t="shared" si="8"/>
        <v>87.856670126092027</v>
      </c>
      <c r="I77">
        <f t="shared" si="11"/>
        <v>88.440946697822497</v>
      </c>
      <c r="J77">
        <f t="shared" si="10"/>
        <v>-0.5842765717304701</v>
      </c>
      <c r="K77">
        <f t="shared" si="14"/>
        <v>-0.41220791118136318</v>
      </c>
      <c r="L77">
        <f t="shared" si="13"/>
        <v>-0.17206866054910691</v>
      </c>
    </row>
    <row r="78" spans="1:12" x14ac:dyDescent="0.2">
      <c r="A78" s="2">
        <v>43178</v>
      </c>
      <c r="B78" s="1">
        <v>88.39</v>
      </c>
      <c r="C78" s="1">
        <v>89.49</v>
      </c>
      <c r="D78" s="1">
        <v>87.94</v>
      </c>
      <c r="E78" s="1">
        <v>89.3</v>
      </c>
      <c r="F78">
        <f t="shared" si="12"/>
        <v>1.5499999999999972</v>
      </c>
      <c r="G78">
        <f t="shared" si="9"/>
        <v>1.170805470935776</v>
      </c>
      <c r="H78">
        <f t="shared" si="8"/>
        <v>88.07872087592402</v>
      </c>
      <c r="I78">
        <f t="shared" si="11"/>
        <v>88.504580275761583</v>
      </c>
      <c r="J78">
        <f t="shared" si="10"/>
        <v>-0.42585939983756305</v>
      </c>
      <c r="K78">
        <f t="shared" si="14"/>
        <v>-0.41493820891260319</v>
      </c>
      <c r="L78">
        <f t="shared" si="13"/>
        <v>-1.0921190924959856E-2</v>
      </c>
    </row>
    <row r="79" spans="1:12" x14ac:dyDescent="0.2">
      <c r="A79" s="2">
        <v>43179</v>
      </c>
      <c r="B79" s="1">
        <v>89.45</v>
      </c>
      <c r="C79" s="1">
        <v>89.89</v>
      </c>
      <c r="D79" s="1">
        <v>89.35</v>
      </c>
      <c r="E79" s="1">
        <v>89.43</v>
      </c>
      <c r="F79">
        <f t="shared" si="12"/>
        <v>0.59000000000000341</v>
      </c>
      <c r="G79">
        <f t="shared" si="9"/>
        <v>1.1293193658689351</v>
      </c>
      <c r="H79">
        <f t="shared" ref="H79:H110" si="15">E79*(2/(12+1)) + H78 * (1-(2/(12+1)))</f>
        <v>88.286609971935718</v>
      </c>
      <c r="I79">
        <f t="shared" si="11"/>
        <v>88.57312988496443</v>
      </c>
      <c r="J79">
        <f t="shared" si="10"/>
        <v>-0.28651991302871238</v>
      </c>
      <c r="K79">
        <f t="shared" si="14"/>
        <v>-0.38925454973582507</v>
      </c>
      <c r="L79">
        <f t="shared" si="13"/>
        <v>0.10273463670711269</v>
      </c>
    </row>
    <row r="80" spans="1:12" x14ac:dyDescent="0.2">
      <c r="A80" s="2">
        <v>43180</v>
      </c>
      <c r="B80" s="1">
        <v>88.89</v>
      </c>
      <c r="C80" s="1">
        <v>88.9</v>
      </c>
      <c r="D80" s="1">
        <v>87.65</v>
      </c>
      <c r="E80" s="1">
        <v>88.07</v>
      </c>
      <c r="F80">
        <f t="shared" si="12"/>
        <v>1.7800000000000011</v>
      </c>
      <c r="G80">
        <f t="shared" si="9"/>
        <v>1.1757965540211541</v>
      </c>
      <c r="H80">
        <f t="shared" si="15"/>
        <v>88.253285360868688</v>
      </c>
      <c r="I80">
        <f t="shared" si="11"/>
        <v>88.535861004596697</v>
      </c>
      <c r="J80">
        <f t="shared" si="10"/>
        <v>-0.28257564372800914</v>
      </c>
      <c r="K80">
        <f t="shared" si="14"/>
        <v>-0.36791876853426192</v>
      </c>
      <c r="L80">
        <f t="shared" si="13"/>
        <v>8.5343124806252779E-2</v>
      </c>
    </row>
    <row r="81" spans="1:12" x14ac:dyDescent="0.2">
      <c r="A81" s="2">
        <v>43181</v>
      </c>
      <c r="B81" s="1">
        <v>87.81</v>
      </c>
      <c r="C81" s="1">
        <v>88.28</v>
      </c>
      <c r="D81" s="1">
        <v>87.6</v>
      </c>
      <c r="E81" s="1">
        <v>88</v>
      </c>
      <c r="F81">
        <f t="shared" si="12"/>
        <v>0.68000000000000682</v>
      </c>
      <c r="G81">
        <f t="shared" ref="G81:G112" si="16">(G80*13+F81)/14</f>
        <v>1.1403825144482149</v>
      </c>
      <c r="H81">
        <f t="shared" si="15"/>
        <v>88.214318382273518</v>
      </c>
      <c r="I81">
        <f t="shared" si="11"/>
        <v>88.496167596848792</v>
      </c>
      <c r="J81">
        <f t="shared" si="10"/>
        <v>-0.28184921457527423</v>
      </c>
      <c r="K81">
        <f t="shared" si="14"/>
        <v>-0.3507048577424644</v>
      </c>
      <c r="L81">
        <f t="shared" si="13"/>
        <v>6.8855643167190173E-2</v>
      </c>
    </row>
    <row r="82" spans="1:12" x14ac:dyDescent="0.2">
      <c r="A82" s="2">
        <v>43182</v>
      </c>
      <c r="B82" s="1">
        <v>88.26</v>
      </c>
      <c r="C82" s="1">
        <v>88.83</v>
      </c>
      <c r="D82" s="1">
        <v>88.01</v>
      </c>
      <c r="E82" s="1">
        <v>88.21</v>
      </c>
      <c r="F82">
        <f t="shared" si="12"/>
        <v>0.82999999999999829</v>
      </c>
      <c r="G82">
        <f t="shared" si="16"/>
        <v>1.1182123348447708</v>
      </c>
      <c r="H82">
        <f t="shared" si="15"/>
        <v>88.213654015769905</v>
      </c>
      <c r="I82">
        <f t="shared" si="11"/>
        <v>88.474969997082212</v>
      </c>
      <c r="J82">
        <f t="shared" si="10"/>
        <v>-0.2613159813123076</v>
      </c>
      <c r="K82">
        <f t="shared" si="14"/>
        <v>-0.33282708245643305</v>
      </c>
      <c r="L82">
        <f t="shared" si="13"/>
        <v>7.1511101144125455E-2</v>
      </c>
    </row>
    <row r="83" spans="1:12" x14ac:dyDescent="0.2">
      <c r="A83" s="2">
        <v>43183</v>
      </c>
      <c r="B83" s="1">
        <v>88.26</v>
      </c>
      <c r="C83" s="1">
        <v>88.99</v>
      </c>
      <c r="D83" s="1">
        <v>87.76</v>
      </c>
      <c r="E83" s="1">
        <v>88.99</v>
      </c>
      <c r="F83">
        <f t="shared" si="12"/>
        <v>1.2299999999999898</v>
      </c>
      <c r="G83">
        <f t="shared" si="16"/>
        <v>1.1261971680701435</v>
      </c>
      <c r="H83">
        <f t="shared" si="15"/>
        <v>88.333091859497614</v>
      </c>
      <c r="I83">
        <f t="shared" si="11"/>
        <v>88.513120367668719</v>
      </c>
      <c r="J83">
        <f t="shared" si="10"/>
        <v>-0.18002850817110527</v>
      </c>
      <c r="K83">
        <f t="shared" si="14"/>
        <v>-0.30226736759936751</v>
      </c>
      <c r="L83">
        <f t="shared" si="13"/>
        <v>0.12223885942826224</v>
      </c>
    </row>
    <row r="84" spans="1:12" x14ac:dyDescent="0.2">
      <c r="A84" s="2">
        <v>43184</v>
      </c>
      <c r="B84" s="1">
        <v>88.52</v>
      </c>
      <c r="C84" s="1">
        <v>88.84</v>
      </c>
      <c r="D84" s="1">
        <v>87.48</v>
      </c>
      <c r="E84" s="1">
        <v>87.51</v>
      </c>
      <c r="F84">
        <f t="shared" si="12"/>
        <v>1.5099999999999909</v>
      </c>
      <c r="G84">
        <f t="shared" si="16"/>
        <v>1.1536116560651326</v>
      </c>
      <c r="H84">
        <f t="shared" si="15"/>
        <v>88.206462342651832</v>
      </c>
      <c r="I84">
        <f t="shared" si="11"/>
        <v>88.438815155248818</v>
      </c>
      <c r="J84">
        <f t="shared" si="10"/>
        <v>-0.23235281259698581</v>
      </c>
      <c r="K84">
        <f t="shared" si="14"/>
        <v>-0.28828445659889118</v>
      </c>
      <c r="L84">
        <f t="shared" si="13"/>
        <v>5.5931644001905367E-2</v>
      </c>
    </row>
    <row r="85" spans="1:12" x14ac:dyDescent="0.2">
      <c r="A85" s="2">
        <v>43185</v>
      </c>
      <c r="B85" s="1">
        <v>87.98</v>
      </c>
      <c r="C85" s="1">
        <v>88.84</v>
      </c>
      <c r="D85" s="1">
        <v>87.74</v>
      </c>
      <c r="E85" s="1">
        <v>88.63</v>
      </c>
      <c r="F85">
        <f t="shared" si="12"/>
        <v>1.3299999999999983</v>
      </c>
      <c r="G85">
        <f t="shared" si="16"/>
        <v>1.1662108234890514</v>
      </c>
      <c r="H85">
        <f t="shared" si="15"/>
        <v>88.271621982243857</v>
      </c>
      <c r="I85">
        <f t="shared" si="11"/>
        <v>88.452976995600764</v>
      </c>
      <c r="J85">
        <f t="shared" si="10"/>
        <v>-0.18135501335690662</v>
      </c>
      <c r="K85">
        <f t="shared" si="14"/>
        <v>-0.26689856795049427</v>
      </c>
      <c r="L85">
        <f t="shared" si="13"/>
        <v>8.5543554593587645E-2</v>
      </c>
    </row>
    <row r="86" spans="1:12" x14ac:dyDescent="0.2">
      <c r="A86" s="2">
        <v>43186</v>
      </c>
      <c r="B86" s="1">
        <v>89</v>
      </c>
      <c r="C86" s="1">
        <v>90.19</v>
      </c>
      <c r="D86" s="1">
        <v>88.92</v>
      </c>
      <c r="E86" s="1">
        <v>90.02</v>
      </c>
      <c r="F86">
        <f t="shared" si="12"/>
        <v>1.5600000000000023</v>
      </c>
      <c r="G86">
        <f t="shared" si="16"/>
        <v>1.1943386218112622</v>
      </c>
      <c r="H86">
        <f t="shared" si="15"/>
        <v>88.54060321574481</v>
      </c>
      <c r="I86">
        <f t="shared" si="11"/>
        <v>88.569052773704414</v>
      </c>
      <c r="J86">
        <f t="shared" si="10"/>
        <v>-2.8449557959604022E-2</v>
      </c>
      <c r="K86">
        <f t="shared" si="14"/>
        <v>-0.21920876595231623</v>
      </c>
      <c r="L86">
        <f t="shared" si="13"/>
        <v>0.1907592079927122</v>
      </c>
    </row>
    <row r="87" spans="1:12" x14ac:dyDescent="0.2">
      <c r="A87" s="2">
        <v>43187</v>
      </c>
      <c r="B87" s="1">
        <v>90.25</v>
      </c>
      <c r="C87" s="1">
        <v>90.88</v>
      </c>
      <c r="D87" s="1">
        <v>89.93</v>
      </c>
      <c r="E87" s="1">
        <v>90.58</v>
      </c>
      <c r="F87">
        <f t="shared" si="12"/>
        <v>0.94999999999998863</v>
      </c>
      <c r="G87">
        <f t="shared" si="16"/>
        <v>1.1768858631104568</v>
      </c>
      <c r="H87">
        <f t="shared" si="15"/>
        <v>88.854356567168693</v>
      </c>
      <c r="I87">
        <f t="shared" si="11"/>
        <v>88.718011827504085</v>
      </c>
      <c r="J87">
        <f t="shared" si="10"/>
        <v>0.13634473966460803</v>
      </c>
      <c r="K87">
        <f t="shared" si="14"/>
        <v>-0.14809806482893137</v>
      </c>
      <c r="L87">
        <f t="shared" si="13"/>
        <v>0.28444280449353943</v>
      </c>
    </row>
    <row r="88" spans="1:12" x14ac:dyDescent="0.2">
      <c r="A88" s="2">
        <v>43188</v>
      </c>
      <c r="B88" s="1">
        <v>90.62</v>
      </c>
      <c r="C88" s="1">
        <v>91.15</v>
      </c>
      <c r="D88" s="1">
        <v>90.14</v>
      </c>
      <c r="E88" s="1">
        <v>91.15</v>
      </c>
      <c r="F88">
        <f t="shared" si="12"/>
        <v>1.0100000000000051</v>
      </c>
      <c r="G88">
        <f t="shared" si="16"/>
        <v>1.1649654443168533</v>
      </c>
      <c r="H88">
        <f t="shared" si="15"/>
        <v>89.207532479911976</v>
      </c>
      <c r="I88">
        <f t="shared" si="11"/>
        <v>88.89815909954082</v>
      </c>
      <c r="J88">
        <f t="shared" si="10"/>
        <v>0.3093733803711558</v>
      </c>
      <c r="K88">
        <f t="shared" si="14"/>
        <v>-5.6603775788913929E-2</v>
      </c>
      <c r="L88">
        <f t="shared" si="13"/>
        <v>0.36597715616006976</v>
      </c>
    </row>
    <row r="89" spans="1:12" x14ac:dyDescent="0.2">
      <c r="A89" s="2">
        <v>43189</v>
      </c>
      <c r="B89" s="1">
        <v>91.05</v>
      </c>
      <c r="C89" s="1">
        <v>91.85</v>
      </c>
      <c r="D89" s="1">
        <v>91.03</v>
      </c>
      <c r="E89" s="1">
        <v>91.7</v>
      </c>
      <c r="F89">
        <f t="shared" si="12"/>
        <v>0.81999999999999318</v>
      </c>
      <c r="G89">
        <f t="shared" si="16"/>
        <v>1.1403250554370776</v>
      </c>
      <c r="H89">
        <f t="shared" si="15"/>
        <v>89.590989021463969</v>
      </c>
      <c r="I89">
        <f t="shared" si="11"/>
        <v>89.105702869945205</v>
      </c>
      <c r="J89">
        <f t="shared" si="10"/>
        <v>0.48528615151876409</v>
      </c>
      <c r="K89">
        <f t="shared" si="14"/>
        <v>5.1774209672621675E-2</v>
      </c>
      <c r="L89">
        <f t="shared" si="13"/>
        <v>0.43351194184614239</v>
      </c>
    </row>
    <row r="90" spans="1:12" x14ac:dyDescent="0.2">
      <c r="A90" s="2">
        <v>43190</v>
      </c>
      <c r="B90" s="1">
        <v>91.14</v>
      </c>
      <c r="C90" s="1">
        <v>91.56</v>
      </c>
      <c r="D90" s="1">
        <v>90.69</v>
      </c>
      <c r="E90" s="1">
        <v>91.03</v>
      </c>
      <c r="F90">
        <f t="shared" si="12"/>
        <v>1.0100000000000051</v>
      </c>
      <c r="G90">
        <f t="shared" si="16"/>
        <v>1.1310161229058582</v>
      </c>
      <c r="H90">
        <f t="shared" si="15"/>
        <v>89.812375325854134</v>
      </c>
      <c r="I90">
        <f t="shared" si="11"/>
        <v>89.248243398097415</v>
      </c>
      <c r="J90">
        <f t="shared" si="10"/>
        <v>0.56413192775671916</v>
      </c>
      <c r="K90">
        <f t="shared" si="14"/>
        <v>0.15424575328944118</v>
      </c>
      <c r="L90">
        <f t="shared" si="13"/>
        <v>0.40988617446727799</v>
      </c>
    </row>
    <row r="91" spans="1:12" x14ac:dyDescent="0.2">
      <c r="A91" s="2">
        <v>43191</v>
      </c>
      <c r="B91" s="1">
        <v>90.87</v>
      </c>
      <c r="C91" s="1">
        <v>90.95</v>
      </c>
      <c r="D91" s="1">
        <v>89.79</v>
      </c>
      <c r="E91" s="1">
        <v>90.14</v>
      </c>
      <c r="F91">
        <f t="shared" si="12"/>
        <v>1.2399999999999949</v>
      </c>
      <c r="G91">
        <f t="shared" si="16"/>
        <v>1.1388006855554393</v>
      </c>
      <c r="H91">
        <f t="shared" si="15"/>
        <v>89.862779121876571</v>
      </c>
      <c r="I91">
        <f t="shared" si="11"/>
        <v>89.314299442682795</v>
      </c>
      <c r="J91">
        <f t="shared" si="10"/>
        <v>0.54847967919377538</v>
      </c>
      <c r="K91">
        <f t="shared" si="14"/>
        <v>0.23309253847030803</v>
      </c>
      <c r="L91">
        <f t="shared" si="13"/>
        <v>0.31538714072346735</v>
      </c>
    </row>
    <row r="92" spans="1:12" x14ac:dyDescent="0.2">
      <c r="A92" s="2">
        <v>43192</v>
      </c>
      <c r="B92" s="1">
        <v>89.8</v>
      </c>
      <c r="C92" s="1">
        <v>90.14</v>
      </c>
      <c r="D92" s="1">
        <v>89.43</v>
      </c>
      <c r="E92" s="1">
        <v>90.1</v>
      </c>
      <c r="F92">
        <f t="shared" si="12"/>
        <v>0.70999999999999375</v>
      </c>
      <c r="G92">
        <f t="shared" si="16"/>
        <v>1.1081720651586218</v>
      </c>
      <c r="H92">
        <f t="shared" si="15"/>
        <v>89.899274641587866</v>
      </c>
      <c r="I92">
        <f t="shared" si="11"/>
        <v>89.372499483965555</v>
      </c>
      <c r="J92">
        <f t="shared" ref="J92:J123" si="17">H92 - I92</f>
        <v>0.52677515762231053</v>
      </c>
      <c r="K92">
        <f t="shared" si="14"/>
        <v>0.29182906230070854</v>
      </c>
      <c r="L92">
        <f t="shared" si="13"/>
        <v>0.23494609532160199</v>
      </c>
    </row>
    <row r="93" spans="1:12" x14ac:dyDescent="0.2">
      <c r="A93" s="2">
        <v>43193</v>
      </c>
      <c r="B93" s="1">
        <v>90.15</v>
      </c>
      <c r="C93" s="1">
        <v>91.19</v>
      </c>
      <c r="D93" s="1">
        <v>90.02</v>
      </c>
      <c r="E93" s="1">
        <v>91.11</v>
      </c>
      <c r="F93">
        <f t="shared" si="12"/>
        <v>1.1700000000000017</v>
      </c>
      <c r="G93">
        <f t="shared" si="16"/>
        <v>1.1125883462187203</v>
      </c>
      <c r="H93">
        <f t="shared" si="15"/>
        <v>90.085540081343581</v>
      </c>
      <c r="I93">
        <f t="shared" ref="I93:I124" si="18">E93*(2/(26+1)) + I92 * (1-(2/(26+1)))</f>
        <v>89.501203225894031</v>
      </c>
      <c r="J93">
        <f t="shared" si="17"/>
        <v>0.58433685544954983</v>
      </c>
      <c r="K93">
        <f t="shared" si="14"/>
        <v>0.35033062093047684</v>
      </c>
      <c r="L93">
        <f t="shared" si="13"/>
        <v>0.23400623451907299</v>
      </c>
    </row>
    <row r="94" spans="1:12" x14ac:dyDescent="0.2">
      <c r="A94" s="2">
        <v>43194</v>
      </c>
      <c r="B94" s="1">
        <v>90.64</v>
      </c>
      <c r="C94" s="1">
        <v>91.32</v>
      </c>
      <c r="D94" s="1">
        <v>90.41</v>
      </c>
      <c r="E94" s="1">
        <v>91.24</v>
      </c>
      <c r="F94">
        <f t="shared" si="12"/>
        <v>0.90999999999999659</v>
      </c>
      <c r="G94">
        <f t="shared" si="16"/>
        <v>1.0981177500602401</v>
      </c>
      <c r="H94">
        <f t="shared" si="15"/>
        <v>90.26314929959841</v>
      </c>
      <c r="I94">
        <f t="shared" si="18"/>
        <v>89.630002986938919</v>
      </c>
      <c r="J94">
        <f t="shared" si="17"/>
        <v>0.63314631265949117</v>
      </c>
      <c r="K94">
        <f t="shared" si="14"/>
        <v>0.40689375927627969</v>
      </c>
      <c r="L94">
        <f t="shared" si="13"/>
        <v>0.22625255338321149</v>
      </c>
    </row>
    <row r="95" spans="1:12" x14ac:dyDescent="0.2">
      <c r="A95" s="2">
        <v>43195</v>
      </c>
      <c r="B95" s="1">
        <v>90.8</v>
      </c>
      <c r="C95" s="1">
        <v>91.29</v>
      </c>
      <c r="D95" s="1">
        <v>90.5</v>
      </c>
      <c r="E95" s="1">
        <v>90.7</v>
      </c>
      <c r="F95">
        <f t="shared" si="12"/>
        <v>0.79000000000000625</v>
      </c>
      <c r="G95">
        <f t="shared" si="16"/>
        <v>1.0761093393416521</v>
      </c>
      <c r="H95">
        <f t="shared" si="15"/>
        <v>90.330357099660191</v>
      </c>
      <c r="I95">
        <f t="shared" si="18"/>
        <v>89.709262024943442</v>
      </c>
      <c r="J95">
        <f t="shared" si="17"/>
        <v>0.62109507471674874</v>
      </c>
      <c r="K95">
        <f t="shared" si="14"/>
        <v>0.44973402236437354</v>
      </c>
      <c r="L95">
        <f t="shared" si="13"/>
        <v>0.1713610523523752</v>
      </c>
    </row>
    <row r="96" spans="1:12" x14ac:dyDescent="0.2">
      <c r="A96" s="2">
        <v>43196</v>
      </c>
      <c r="B96" s="1">
        <v>91.07</v>
      </c>
      <c r="C96" s="1">
        <v>91.88</v>
      </c>
      <c r="D96" s="1">
        <v>90.53</v>
      </c>
      <c r="E96" s="1">
        <v>91.76</v>
      </c>
      <c r="F96">
        <f t="shared" si="12"/>
        <v>1.3499999999999943</v>
      </c>
      <c r="G96">
        <f t="shared" si="16"/>
        <v>1.095672957960105</v>
      </c>
      <c r="H96">
        <f t="shared" si="15"/>
        <v>90.550302161250926</v>
      </c>
      <c r="I96">
        <f t="shared" si="18"/>
        <v>89.861168541614305</v>
      </c>
      <c r="J96">
        <f t="shared" si="17"/>
        <v>0.68913361963662112</v>
      </c>
      <c r="K96">
        <f t="shared" si="14"/>
        <v>0.49761394181882312</v>
      </c>
      <c r="L96">
        <f t="shared" si="13"/>
        <v>0.191519677817798</v>
      </c>
    </row>
    <row r="97" spans="1:12" x14ac:dyDescent="0.2">
      <c r="A97" s="2">
        <v>43197</v>
      </c>
      <c r="B97" s="1">
        <v>91.61</v>
      </c>
      <c r="C97" s="1">
        <v>92.69</v>
      </c>
      <c r="D97" s="1">
        <v>91.46</v>
      </c>
      <c r="E97" s="1">
        <v>92.52</v>
      </c>
      <c r="F97">
        <f t="shared" si="12"/>
        <v>1.230000000000004</v>
      </c>
      <c r="G97">
        <f t="shared" si="16"/>
        <v>1.1052677466772407</v>
      </c>
      <c r="H97">
        <f t="shared" si="15"/>
        <v>90.853332597981563</v>
      </c>
      <c r="I97">
        <f t="shared" si="18"/>
        <v>90.058119020013251</v>
      </c>
      <c r="J97">
        <f t="shared" si="17"/>
        <v>0.79521357796831182</v>
      </c>
      <c r="K97">
        <f t="shared" si="14"/>
        <v>0.55713386904872086</v>
      </c>
      <c r="L97">
        <f t="shared" si="13"/>
        <v>0.23807970891959096</v>
      </c>
    </row>
    <row r="98" spans="1:12" x14ac:dyDescent="0.2">
      <c r="A98" s="2">
        <v>43198</v>
      </c>
      <c r="B98" s="1">
        <v>92.67</v>
      </c>
      <c r="C98" s="1">
        <v>93.43</v>
      </c>
      <c r="D98" s="1">
        <v>92.38</v>
      </c>
      <c r="E98" s="1">
        <v>92.8</v>
      </c>
      <c r="F98">
        <f t="shared" si="12"/>
        <v>1.0500000000000114</v>
      </c>
      <c r="G98">
        <f t="shared" si="16"/>
        <v>1.1013200504860101</v>
      </c>
      <c r="H98">
        <f t="shared" si="15"/>
        <v>91.152819890599787</v>
      </c>
      <c r="I98">
        <f t="shared" si="18"/>
        <v>90.261221314827083</v>
      </c>
      <c r="J98">
        <f t="shared" si="17"/>
        <v>0.89159857577270429</v>
      </c>
      <c r="K98">
        <f t="shared" si="14"/>
        <v>0.62402681039351759</v>
      </c>
      <c r="L98">
        <f t="shared" si="13"/>
        <v>0.2675717653791867</v>
      </c>
    </row>
    <row r="99" spans="1:12" x14ac:dyDescent="0.2">
      <c r="A99" s="2">
        <v>43199</v>
      </c>
      <c r="B99" s="1">
        <v>92.83</v>
      </c>
      <c r="C99" s="1">
        <v>93.5</v>
      </c>
      <c r="D99" s="1">
        <v>91.81</v>
      </c>
      <c r="E99" s="1">
        <v>92.19</v>
      </c>
      <c r="F99">
        <f t="shared" si="12"/>
        <v>1.6899999999999977</v>
      </c>
      <c r="G99">
        <f t="shared" si="16"/>
        <v>1.1433686183084377</v>
      </c>
      <c r="H99">
        <f t="shared" si="15"/>
        <v>91.31238606127674</v>
      </c>
      <c r="I99">
        <f t="shared" si="18"/>
        <v>90.404093810025074</v>
      </c>
      <c r="J99">
        <f t="shared" si="17"/>
        <v>0.90829225125166602</v>
      </c>
      <c r="K99">
        <f t="shared" si="14"/>
        <v>0.6808798985651473</v>
      </c>
      <c r="L99">
        <f t="shared" si="13"/>
        <v>0.22741235268651872</v>
      </c>
    </row>
    <row r="100" spans="1:12" x14ac:dyDescent="0.2">
      <c r="A100" s="2">
        <v>43200</v>
      </c>
      <c r="B100" s="1">
        <v>91.56</v>
      </c>
      <c r="C100" s="1">
        <v>92.36</v>
      </c>
      <c r="D100" s="1">
        <v>91.36</v>
      </c>
      <c r="E100" s="1">
        <v>91.79</v>
      </c>
      <c r="F100">
        <f t="shared" ref="F100:F131" si="19">MAX(ABS(D100-E99),ABS(C100-E99),ABS(C100-D100))</f>
        <v>1</v>
      </c>
      <c r="G100">
        <f t="shared" si="16"/>
        <v>1.1331280027149779</v>
      </c>
      <c r="H100">
        <f t="shared" si="15"/>
        <v>91.385865128772622</v>
      </c>
      <c r="I100">
        <f t="shared" si="18"/>
        <v>90.506753527800996</v>
      </c>
      <c r="J100">
        <f t="shared" si="17"/>
        <v>0.87911160097162622</v>
      </c>
      <c r="K100">
        <f t="shared" si="14"/>
        <v>0.72052623904644308</v>
      </c>
      <c r="L100">
        <f t="shared" ref="L100:L131" si="20">J100 - K100</f>
        <v>0.15858536192518313</v>
      </c>
    </row>
    <row r="101" spans="1:12" x14ac:dyDescent="0.2">
      <c r="A101" s="2">
        <v>43201</v>
      </c>
      <c r="B101" s="1">
        <v>91.38</v>
      </c>
      <c r="C101" s="1">
        <v>91.77</v>
      </c>
      <c r="D101" s="1">
        <v>91</v>
      </c>
      <c r="E101" s="1">
        <v>91.53</v>
      </c>
      <c r="F101">
        <f t="shared" si="19"/>
        <v>0.79000000000000625</v>
      </c>
      <c r="G101">
        <f t="shared" si="16"/>
        <v>1.1086188596639086</v>
      </c>
      <c r="H101">
        <f t="shared" si="15"/>
        <v>91.408039724346054</v>
      </c>
      <c r="I101">
        <f t="shared" si="18"/>
        <v>90.582549562778695</v>
      </c>
      <c r="J101">
        <f t="shared" si="17"/>
        <v>0.82549016156735888</v>
      </c>
      <c r="K101">
        <f t="shared" ref="K101:K132" si="21">J101*(2/(9+1)) + K100 * (1-(2/(9+1)))</f>
        <v>0.74151902355062627</v>
      </c>
      <c r="L101">
        <f t="shared" si="20"/>
        <v>8.3971138016732616E-2</v>
      </c>
    </row>
    <row r="102" spans="1:12" x14ac:dyDescent="0.2">
      <c r="A102" s="2">
        <v>43202</v>
      </c>
      <c r="B102" s="1">
        <v>92.94</v>
      </c>
      <c r="C102" s="1">
        <v>93.18</v>
      </c>
      <c r="D102" s="1">
        <v>91.76</v>
      </c>
      <c r="E102" s="1">
        <v>92.38</v>
      </c>
      <c r="F102">
        <f t="shared" si="19"/>
        <v>1.6500000000000057</v>
      </c>
      <c r="G102">
        <f t="shared" si="16"/>
        <v>1.147288941116487</v>
      </c>
      <c r="H102">
        <f t="shared" si="15"/>
        <v>91.557572074446654</v>
      </c>
      <c r="I102">
        <f t="shared" si="18"/>
        <v>90.7156940396099</v>
      </c>
      <c r="J102">
        <f t="shared" si="17"/>
        <v>0.84187803483675339</v>
      </c>
      <c r="K102">
        <f t="shared" si="21"/>
        <v>0.76159082580785165</v>
      </c>
      <c r="L102">
        <f t="shared" si="20"/>
        <v>8.028720902890174E-2</v>
      </c>
    </row>
    <row r="103" spans="1:12" x14ac:dyDescent="0.2">
      <c r="A103" s="2">
        <v>43203</v>
      </c>
      <c r="B103" s="1">
        <v>91.76</v>
      </c>
      <c r="C103" s="1">
        <v>92.42</v>
      </c>
      <c r="D103" s="1">
        <v>91.59</v>
      </c>
      <c r="E103" s="1">
        <v>92.08</v>
      </c>
      <c r="F103">
        <f t="shared" si="19"/>
        <v>0.82999999999999829</v>
      </c>
      <c r="G103">
        <f t="shared" si="16"/>
        <v>1.1246254453224522</v>
      </c>
      <c r="H103">
        <f t="shared" si="15"/>
        <v>91.637945601454859</v>
      </c>
      <c r="I103">
        <f t="shared" si="18"/>
        <v>90.816753740379539</v>
      </c>
      <c r="J103">
        <f t="shared" si="17"/>
        <v>0.82119186107532016</v>
      </c>
      <c r="K103">
        <f t="shared" si="21"/>
        <v>0.77351103286134548</v>
      </c>
      <c r="L103">
        <f t="shared" si="20"/>
        <v>4.768082821397468E-2</v>
      </c>
    </row>
    <row r="104" spans="1:12" x14ac:dyDescent="0.2">
      <c r="A104" s="2">
        <v>43204</v>
      </c>
      <c r="B104" s="1">
        <v>91.97</v>
      </c>
      <c r="C104" s="1">
        <v>92.68</v>
      </c>
      <c r="D104" s="1">
        <v>91.6</v>
      </c>
      <c r="E104" s="1">
        <v>92.09</v>
      </c>
      <c r="F104">
        <f t="shared" si="19"/>
        <v>1.0800000000000125</v>
      </c>
      <c r="G104">
        <f t="shared" si="16"/>
        <v>1.1214379135137065</v>
      </c>
      <c r="H104">
        <f t="shared" si="15"/>
        <v>91.707492432000265</v>
      </c>
      <c r="I104">
        <f t="shared" si="18"/>
        <v>90.911068278129207</v>
      </c>
      <c r="J104">
        <f t="shared" si="17"/>
        <v>0.79642415387105814</v>
      </c>
      <c r="K104">
        <f t="shared" si="21"/>
        <v>0.77809365706328804</v>
      </c>
      <c r="L104">
        <f t="shared" si="20"/>
        <v>1.8330496807770102E-2</v>
      </c>
    </row>
    <row r="105" spans="1:12" x14ac:dyDescent="0.2">
      <c r="A105" s="2">
        <v>43205</v>
      </c>
      <c r="B105" s="1">
        <v>91.95</v>
      </c>
      <c r="C105" s="1">
        <v>92.37</v>
      </c>
      <c r="D105" s="1">
        <v>90.46</v>
      </c>
      <c r="E105" s="1">
        <v>90.47</v>
      </c>
      <c r="F105">
        <f t="shared" si="19"/>
        <v>1.9100000000000108</v>
      </c>
      <c r="G105">
        <f t="shared" si="16"/>
        <v>1.1777637768341569</v>
      </c>
      <c r="H105">
        <f t="shared" si="15"/>
        <v>91.517108980923311</v>
      </c>
      <c r="I105">
        <f t="shared" si="18"/>
        <v>90.878396553823336</v>
      </c>
      <c r="J105">
        <f t="shared" si="17"/>
        <v>0.63871242709997489</v>
      </c>
      <c r="K105">
        <f t="shared" si="21"/>
        <v>0.75021741107062545</v>
      </c>
      <c r="L105">
        <f t="shared" si="20"/>
        <v>-0.11150498397065056</v>
      </c>
    </row>
    <row r="106" spans="1:12" x14ac:dyDescent="0.2">
      <c r="A106" s="2">
        <v>43206</v>
      </c>
      <c r="B106" s="1">
        <v>90.53</v>
      </c>
      <c r="C106" s="1">
        <v>91.51</v>
      </c>
      <c r="D106" s="1">
        <v>90.48</v>
      </c>
      <c r="E106" s="1">
        <v>91.46</v>
      </c>
      <c r="F106">
        <f t="shared" si="19"/>
        <v>1.0400000000000063</v>
      </c>
      <c r="G106">
        <f t="shared" si="16"/>
        <v>1.1679235070602891</v>
      </c>
      <c r="H106">
        <f t="shared" si="15"/>
        <v>91.508322983858179</v>
      </c>
      <c r="I106">
        <f t="shared" si="18"/>
        <v>90.92147829057717</v>
      </c>
      <c r="J106">
        <f t="shared" si="17"/>
        <v>0.58684469328100874</v>
      </c>
      <c r="K106">
        <f t="shared" si="21"/>
        <v>0.71754286751270224</v>
      </c>
      <c r="L106">
        <f t="shared" si="20"/>
        <v>-0.1306981742316935</v>
      </c>
    </row>
    <row r="107" spans="1:12" x14ac:dyDescent="0.2">
      <c r="A107" s="2">
        <v>43207</v>
      </c>
      <c r="B107" s="1">
        <v>91.18</v>
      </c>
      <c r="C107" s="1">
        <v>91.49</v>
      </c>
      <c r="D107" s="1">
        <v>90.22</v>
      </c>
      <c r="E107" s="1">
        <v>90.79</v>
      </c>
      <c r="F107">
        <f t="shared" si="19"/>
        <v>1.269999999999996</v>
      </c>
      <c r="G107">
        <f t="shared" si="16"/>
        <v>1.1752146851274112</v>
      </c>
      <c r="H107">
        <f t="shared" si="15"/>
        <v>91.39781175557232</v>
      </c>
      <c r="I107">
        <f t="shared" si="18"/>
        <v>90.911739157941824</v>
      </c>
      <c r="J107">
        <f t="shared" si="17"/>
        <v>0.48607259763049626</v>
      </c>
      <c r="K107">
        <f t="shared" si="21"/>
        <v>0.67124881353626109</v>
      </c>
      <c r="L107">
        <f t="shared" si="20"/>
        <v>-0.18517621590576483</v>
      </c>
    </row>
    <row r="108" spans="1:12" x14ac:dyDescent="0.2">
      <c r="A108" s="2">
        <v>43208</v>
      </c>
      <c r="B108" s="1">
        <v>90.68</v>
      </c>
      <c r="C108" s="1">
        <v>91.12</v>
      </c>
      <c r="D108" s="1">
        <v>89.61</v>
      </c>
      <c r="E108" s="1">
        <v>89.65</v>
      </c>
      <c r="F108">
        <f t="shared" si="19"/>
        <v>1.5100000000000051</v>
      </c>
      <c r="G108">
        <f t="shared" si="16"/>
        <v>1.1991279219040252</v>
      </c>
      <c r="H108">
        <f t="shared" si="15"/>
        <v>91.128917639330439</v>
      </c>
      <c r="I108">
        <f t="shared" si="18"/>
        <v>90.818276998094277</v>
      </c>
      <c r="J108">
        <f t="shared" si="17"/>
        <v>0.3106406412361622</v>
      </c>
      <c r="K108">
        <f t="shared" si="21"/>
        <v>0.59912717907624136</v>
      </c>
      <c r="L108">
        <f t="shared" si="20"/>
        <v>-0.28848653784007916</v>
      </c>
    </row>
    <row r="109" spans="1:12" x14ac:dyDescent="0.2">
      <c r="A109" s="2">
        <v>43209</v>
      </c>
      <c r="B109" s="1">
        <v>89.45</v>
      </c>
      <c r="C109" s="1">
        <v>90.23</v>
      </c>
      <c r="D109" s="1">
        <v>89</v>
      </c>
      <c r="E109" s="1">
        <v>90.23</v>
      </c>
      <c r="F109">
        <f t="shared" si="19"/>
        <v>1.230000000000004</v>
      </c>
      <c r="G109">
        <f t="shared" si="16"/>
        <v>1.201333070339452</v>
      </c>
      <c r="H109">
        <f t="shared" si="15"/>
        <v>90.990622617894999</v>
      </c>
      <c r="I109">
        <f t="shared" si="18"/>
        <v>90.774700924161365</v>
      </c>
      <c r="J109">
        <f t="shared" si="17"/>
        <v>0.2159216937336339</v>
      </c>
      <c r="K109">
        <f t="shared" si="21"/>
        <v>0.52248608200771995</v>
      </c>
      <c r="L109">
        <f t="shared" si="20"/>
        <v>-0.30656438827408605</v>
      </c>
    </row>
    <row r="110" spans="1:12" x14ac:dyDescent="0.2">
      <c r="A110" s="2">
        <v>43210</v>
      </c>
      <c r="B110" s="1">
        <v>90.89</v>
      </c>
      <c r="C110" s="1">
        <v>91.5</v>
      </c>
      <c r="D110" s="1">
        <v>90.49</v>
      </c>
      <c r="E110" s="1">
        <v>91.45</v>
      </c>
      <c r="F110">
        <f t="shared" si="19"/>
        <v>1.269999999999996</v>
      </c>
      <c r="G110">
        <f t="shared" si="16"/>
        <v>1.2062378510294909</v>
      </c>
      <c r="H110">
        <f t="shared" si="15"/>
        <v>91.061296061295764</v>
      </c>
      <c r="I110">
        <f t="shared" si="18"/>
        <v>90.824723077927189</v>
      </c>
      <c r="J110">
        <f t="shared" si="17"/>
        <v>0.2365729833685748</v>
      </c>
      <c r="K110">
        <f t="shared" si="21"/>
        <v>0.46530346227989094</v>
      </c>
      <c r="L110">
        <f t="shared" si="20"/>
        <v>-0.22873047891131615</v>
      </c>
    </row>
    <row r="111" spans="1:12" x14ac:dyDescent="0.2">
      <c r="A111" s="2">
        <v>43211</v>
      </c>
      <c r="B111" s="1">
        <v>91.93</v>
      </c>
      <c r="C111" s="1">
        <v>91.94</v>
      </c>
      <c r="D111" s="1">
        <v>90.87</v>
      </c>
      <c r="E111" s="1">
        <v>91.12</v>
      </c>
      <c r="F111">
        <f t="shared" si="19"/>
        <v>1.0699999999999932</v>
      </c>
      <c r="G111">
        <f t="shared" si="16"/>
        <v>1.1965065759559554</v>
      </c>
      <c r="H111">
        <f t="shared" ref="H111:H142" si="22">E111*(2/(12+1)) + H110 * (1-(2/(12+1)))</f>
        <v>91.070327436481023</v>
      </c>
      <c r="I111">
        <f t="shared" si="18"/>
        <v>90.846595442525171</v>
      </c>
      <c r="J111">
        <f t="shared" si="17"/>
        <v>0.22373199395585175</v>
      </c>
      <c r="K111">
        <f t="shared" si="21"/>
        <v>0.41698916861508317</v>
      </c>
      <c r="L111">
        <f t="shared" si="20"/>
        <v>-0.19325717465923142</v>
      </c>
    </row>
    <row r="112" spans="1:12" x14ac:dyDescent="0.2">
      <c r="A112" s="2">
        <v>43212</v>
      </c>
      <c r="B112" s="1">
        <v>90.38</v>
      </c>
      <c r="C112" s="1">
        <v>91.04</v>
      </c>
      <c r="D112" s="1">
        <v>90.23</v>
      </c>
      <c r="E112" s="1">
        <v>90.46</v>
      </c>
      <c r="F112">
        <f t="shared" si="19"/>
        <v>0.89000000000000057</v>
      </c>
      <c r="G112">
        <f t="shared" si="16"/>
        <v>1.1746132491019587</v>
      </c>
      <c r="H112">
        <f t="shared" si="22"/>
        <v>90.976430907791638</v>
      </c>
      <c r="I112">
        <f t="shared" si="18"/>
        <v>90.817958743078862</v>
      </c>
      <c r="J112">
        <f t="shared" si="17"/>
        <v>0.15847216471277648</v>
      </c>
      <c r="K112">
        <f t="shared" si="21"/>
        <v>0.36528576783462186</v>
      </c>
      <c r="L112">
        <f t="shared" si="20"/>
        <v>-0.20681360312184538</v>
      </c>
    </row>
    <row r="113" spans="1:12" x14ac:dyDescent="0.2">
      <c r="A113" s="2">
        <v>43213</v>
      </c>
      <c r="B113" s="1">
        <v>91.13</v>
      </c>
      <c r="C113" s="1">
        <v>91.32</v>
      </c>
      <c r="D113" s="1">
        <v>89.59</v>
      </c>
      <c r="E113" s="1">
        <v>89.74</v>
      </c>
      <c r="F113">
        <f t="shared" si="19"/>
        <v>1.7299999999999898</v>
      </c>
      <c r="G113">
        <f t="shared" ref="G113:G144" si="23">(G112*13+F113)/14</f>
        <v>1.2142837313089612</v>
      </c>
      <c r="H113">
        <f t="shared" si="22"/>
        <v>90.786210768131383</v>
      </c>
      <c r="I113">
        <f t="shared" si="18"/>
        <v>90.738109947295243</v>
      </c>
      <c r="J113">
        <f t="shared" si="17"/>
        <v>4.8100820836140201E-2</v>
      </c>
      <c r="K113">
        <f t="shared" si="21"/>
        <v>0.30184877843492552</v>
      </c>
      <c r="L113">
        <f t="shared" si="20"/>
        <v>-0.25374795759878532</v>
      </c>
    </row>
    <row r="114" spans="1:12" x14ac:dyDescent="0.2">
      <c r="A114" s="2">
        <v>43214</v>
      </c>
      <c r="B114" s="1">
        <v>89.63</v>
      </c>
      <c r="C114" s="1">
        <v>91.71</v>
      </c>
      <c r="D114" s="1">
        <v>89.61</v>
      </c>
      <c r="E114" s="1">
        <v>91.33</v>
      </c>
      <c r="F114">
        <f t="shared" si="19"/>
        <v>2.0999999999999943</v>
      </c>
      <c r="G114">
        <f t="shared" si="23"/>
        <v>1.2775491790726063</v>
      </c>
      <c r="H114">
        <f t="shared" si="22"/>
        <v>90.869870649957321</v>
      </c>
      <c r="I114">
        <f t="shared" si="18"/>
        <v>90.781953654903006</v>
      </c>
      <c r="J114">
        <f t="shared" si="17"/>
        <v>8.7916995054314384E-2</v>
      </c>
      <c r="K114">
        <f t="shared" si="21"/>
        <v>0.25906242175880329</v>
      </c>
      <c r="L114">
        <f t="shared" si="20"/>
        <v>-0.1711454267044889</v>
      </c>
    </row>
    <row r="115" spans="1:12" x14ac:dyDescent="0.2">
      <c r="A115" s="2">
        <v>43215</v>
      </c>
      <c r="B115" s="1">
        <v>91.16</v>
      </c>
      <c r="C115" s="1">
        <v>91.3</v>
      </c>
      <c r="D115" s="1">
        <v>90.29</v>
      </c>
      <c r="E115" s="1">
        <v>90.58</v>
      </c>
      <c r="F115">
        <f t="shared" si="19"/>
        <v>1.039999999999992</v>
      </c>
      <c r="G115">
        <f t="shared" si="23"/>
        <v>1.2605813805674195</v>
      </c>
      <c r="H115">
        <f t="shared" si="22"/>
        <v>90.825275165348501</v>
      </c>
      <c r="I115">
        <f t="shared" si="18"/>
        <v>90.766994124910198</v>
      </c>
      <c r="J115">
        <f t="shared" si="17"/>
        <v>5.8281040438302512E-2</v>
      </c>
      <c r="K115">
        <f t="shared" si="21"/>
        <v>0.21890614549470314</v>
      </c>
      <c r="L115">
        <f t="shared" si="20"/>
        <v>-0.16062510505640062</v>
      </c>
    </row>
    <row r="116" spans="1:12" x14ac:dyDescent="0.2">
      <c r="A116" s="2">
        <v>43216</v>
      </c>
      <c r="B116" s="1">
        <v>90.97</v>
      </c>
      <c r="C116" s="1">
        <v>91.77</v>
      </c>
      <c r="D116" s="1">
        <v>90.77</v>
      </c>
      <c r="E116" s="1">
        <v>91.51</v>
      </c>
      <c r="F116">
        <f t="shared" si="19"/>
        <v>1.1899999999999977</v>
      </c>
      <c r="G116">
        <f t="shared" si="23"/>
        <v>1.2555398533840323</v>
      </c>
      <c r="H116">
        <f t="shared" si="22"/>
        <v>90.930617447602572</v>
      </c>
      <c r="I116">
        <f t="shared" si="18"/>
        <v>90.822031597139073</v>
      </c>
      <c r="J116">
        <f t="shared" si="17"/>
        <v>0.10858585046349845</v>
      </c>
      <c r="K116">
        <f t="shared" si="21"/>
        <v>0.19684208648846221</v>
      </c>
      <c r="L116">
        <f t="shared" si="20"/>
        <v>-8.8256236024963769E-2</v>
      </c>
    </row>
    <row r="117" spans="1:12" x14ac:dyDescent="0.2">
      <c r="A117" s="2">
        <v>43217</v>
      </c>
      <c r="B117" s="1">
        <v>91.36</v>
      </c>
      <c r="C117" s="1">
        <v>92.06</v>
      </c>
      <c r="D117" s="1">
        <v>91.26</v>
      </c>
      <c r="E117" s="1">
        <v>91.93</v>
      </c>
      <c r="F117">
        <f t="shared" si="19"/>
        <v>0.79999999999999716</v>
      </c>
      <c r="G117">
        <f t="shared" si="23"/>
        <v>1.2230012924280298</v>
      </c>
      <c r="H117">
        <f t="shared" si="22"/>
        <v>91.08436860950988</v>
      </c>
      <c r="I117">
        <f t="shared" si="18"/>
        <v>90.904103330684322</v>
      </c>
      <c r="J117">
        <f t="shared" si="17"/>
        <v>0.18026527882555854</v>
      </c>
      <c r="K117">
        <f t="shared" si="21"/>
        <v>0.19352672495588147</v>
      </c>
      <c r="L117">
        <f t="shared" si="20"/>
        <v>-1.3261446130322929E-2</v>
      </c>
    </row>
    <row r="118" spans="1:12" x14ac:dyDescent="0.2">
      <c r="A118" s="2">
        <v>43218</v>
      </c>
      <c r="B118" s="1">
        <v>91.79</v>
      </c>
      <c r="C118" s="1">
        <v>92.27</v>
      </c>
      <c r="D118" s="1">
        <v>91</v>
      </c>
      <c r="E118" s="1">
        <v>91</v>
      </c>
      <c r="F118">
        <f t="shared" si="19"/>
        <v>1.269999999999996</v>
      </c>
      <c r="G118">
        <f t="shared" si="23"/>
        <v>1.2263583429688845</v>
      </c>
      <c r="H118">
        <f t="shared" si="22"/>
        <v>91.071388823431434</v>
      </c>
      <c r="I118">
        <f t="shared" si="18"/>
        <v>90.911206787670665</v>
      </c>
      <c r="J118">
        <f t="shared" si="17"/>
        <v>0.16018203576076928</v>
      </c>
      <c r="K118">
        <f t="shared" si="21"/>
        <v>0.18685778711685905</v>
      </c>
      <c r="L118">
        <f t="shared" si="20"/>
        <v>-2.6675751356089766E-2</v>
      </c>
    </row>
    <row r="119" spans="1:12" x14ac:dyDescent="0.2">
      <c r="A119" s="2">
        <v>43219</v>
      </c>
      <c r="B119" s="1">
        <v>90.24</v>
      </c>
      <c r="C119" s="1">
        <v>90.52</v>
      </c>
      <c r="D119" s="1">
        <v>88.79</v>
      </c>
      <c r="E119" s="1">
        <v>89.05</v>
      </c>
      <c r="F119">
        <f t="shared" si="19"/>
        <v>2.2099999999999937</v>
      </c>
      <c r="G119">
        <f t="shared" si="23"/>
        <v>1.2966184613282492</v>
      </c>
      <c r="H119">
        <f t="shared" si="22"/>
        <v>90.760405927518903</v>
      </c>
      <c r="I119">
        <f t="shared" si="18"/>
        <v>90.773339618213583</v>
      </c>
      <c r="J119">
        <f t="shared" si="17"/>
        <v>-1.2933690694680422E-2</v>
      </c>
      <c r="K119">
        <f t="shared" si="21"/>
        <v>0.14689949155455115</v>
      </c>
      <c r="L119">
        <f t="shared" si="20"/>
        <v>-0.15983318224923157</v>
      </c>
    </row>
    <row r="120" spans="1:12" x14ac:dyDescent="0.2">
      <c r="A120" s="2">
        <v>43220</v>
      </c>
      <c r="B120" s="1">
        <v>89.76</v>
      </c>
      <c r="C120" s="1">
        <v>90.14</v>
      </c>
      <c r="D120" s="1">
        <v>88.85</v>
      </c>
      <c r="E120" s="1">
        <v>89.48</v>
      </c>
      <c r="F120">
        <f t="shared" si="19"/>
        <v>1.2900000000000063</v>
      </c>
      <c r="G120">
        <f t="shared" si="23"/>
        <v>1.2961457140905175</v>
      </c>
      <c r="H120">
        <f t="shared" si="22"/>
        <v>90.563420400208315</v>
      </c>
      <c r="I120">
        <f t="shared" si="18"/>
        <v>90.677536683531088</v>
      </c>
      <c r="J120">
        <f t="shared" si="17"/>
        <v>-0.11411628332277246</v>
      </c>
      <c r="K120">
        <f t="shared" si="21"/>
        <v>9.4696336579086424E-2</v>
      </c>
      <c r="L120">
        <f t="shared" si="20"/>
        <v>-0.2088126199018589</v>
      </c>
    </row>
    <row r="121" spans="1:12" x14ac:dyDescent="0.2">
      <c r="A121" s="2">
        <v>43221</v>
      </c>
      <c r="B121" s="1">
        <v>88.95</v>
      </c>
      <c r="C121" s="1">
        <v>89.5</v>
      </c>
      <c r="D121" s="1">
        <v>88.02</v>
      </c>
      <c r="E121" s="1">
        <v>88.48</v>
      </c>
      <c r="F121">
        <f t="shared" si="19"/>
        <v>1.480000000000004</v>
      </c>
      <c r="G121">
        <f t="shared" si="23"/>
        <v>1.3092781630840522</v>
      </c>
      <c r="H121">
        <f t="shared" si="22"/>
        <v>90.242894184791652</v>
      </c>
      <c r="I121">
        <f t="shared" si="18"/>
        <v>90.514756188454712</v>
      </c>
      <c r="J121">
        <f t="shared" si="17"/>
        <v>-0.27186200366305968</v>
      </c>
      <c r="K121">
        <f t="shared" si="21"/>
        <v>2.1384668530657201E-2</v>
      </c>
      <c r="L121">
        <f t="shared" si="20"/>
        <v>-0.29324667219371686</v>
      </c>
    </row>
    <row r="122" spans="1:12" x14ac:dyDescent="0.2">
      <c r="A122" s="2">
        <v>43222</v>
      </c>
      <c r="B122" s="1">
        <v>89.58</v>
      </c>
      <c r="C122" s="1">
        <v>89.62</v>
      </c>
      <c r="D122" s="1">
        <v>88.48</v>
      </c>
      <c r="E122" s="1">
        <v>89.11</v>
      </c>
      <c r="F122">
        <f t="shared" si="19"/>
        <v>1.1400000000000006</v>
      </c>
      <c r="G122">
        <f t="shared" si="23"/>
        <v>1.2971868657209058</v>
      </c>
      <c r="H122">
        <f t="shared" si="22"/>
        <v>90.068602771746782</v>
      </c>
      <c r="I122">
        <f t="shared" si="18"/>
        <v>90.410700174495105</v>
      </c>
      <c r="J122">
        <f t="shared" si="17"/>
        <v>-0.34209740274832257</v>
      </c>
      <c r="K122">
        <f t="shared" si="21"/>
        <v>-5.1311745725138747E-2</v>
      </c>
      <c r="L122">
        <f t="shared" si="20"/>
        <v>-0.29078565702318382</v>
      </c>
    </row>
    <row r="123" spans="1:12" x14ac:dyDescent="0.2">
      <c r="A123" s="2">
        <v>43223</v>
      </c>
      <c r="B123" s="1">
        <v>89.42</v>
      </c>
      <c r="C123" s="1">
        <v>89.97</v>
      </c>
      <c r="D123" s="1">
        <v>88.73</v>
      </c>
      <c r="E123" s="1">
        <v>89.8</v>
      </c>
      <c r="F123">
        <f t="shared" si="19"/>
        <v>1.2399999999999949</v>
      </c>
      <c r="G123">
        <f t="shared" si="23"/>
        <v>1.2931020895979837</v>
      </c>
      <c r="H123">
        <f t="shared" si="22"/>
        <v>90.027279268401116</v>
      </c>
      <c r="I123">
        <f t="shared" si="18"/>
        <v>90.365463124532496</v>
      </c>
      <c r="J123">
        <f t="shared" si="17"/>
        <v>-0.33818385613137991</v>
      </c>
      <c r="K123">
        <f t="shared" si="21"/>
        <v>-0.10868616780638699</v>
      </c>
      <c r="L123">
        <f t="shared" si="20"/>
        <v>-0.22949768832499293</v>
      </c>
    </row>
    <row r="124" spans="1:12" x14ac:dyDescent="0.2">
      <c r="A124" s="2">
        <v>43224</v>
      </c>
      <c r="B124" s="1">
        <v>90.24</v>
      </c>
      <c r="C124" s="1">
        <v>90.67</v>
      </c>
      <c r="D124" s="1">
        <v>90.03</v>
      </c>
      <c r="E124" s="1">
        <v>90.04</v>
      </c>
      <c r="F124">
        <f t="shared" si="19"/>
        <v>0.87000000000000455</v>
      </c>
      <c r="G124">
        <f t="shared" si="23"/>
        <v>1.2628805117695567</v>
      </c>
      <c r="H124">
        <f t="shared" si="22"/>
        <v>90.029236304031713</v>
      </c>
      <c r="I124">
        <f t="shared" si="18"/>
        <v>90.34135474493749</v>
      </c>
      <c r="J124">
        <f t="shared" ref="J124:J155" si="24">H124 - I124</f>
        <v>-0.31211844090577756</v>
      </c>
      <c r="K124">
        <f t="shared" si="21"/>
        <v>-0.14937262242626509</v>
      </c>
      <c r="L124">
        <f t="shared" si="20"/>
        <v>-0.16274581847951247</v>
      </c>
    </row>
    <row r="125" spans="1:12" x14ac:dyDescent="0.2">
      <c r="A125" s="2">
        <v>43225</v>
      </c>
      <c r="B125" s="1">
        <v>89.85</v>
      </c>
      <c r="C125" s="1">
        <v>90.75</v>
      </c>
      <c r="D125" s="1">
        <v>89.56</v>
      </c>
      <c r="E125" s="1">
        <v>90.35</v>
      </c>
      <c r="F125">
        <f t="shared" si="19"/>
        <v>1.1899999999999977</v>
      </c>
      <c r="G125">
        <f t="shared" si="23"/>
        <v>1.2576747609288739</v>
      </c>
      <c r="H125">
        <f t="shared" si="22"/>
        <v>90.078584564949921</v>
      </c>
      <c r="I125">
        <f t="shared" ref="I125:I156" si="25">E125*(2/(26+1)) + I124 * (1-(2/(26+1)))</f>
        <v>90.341995134201383</v>
      </c>
      <c r="J125">
        <f t="shared" si="24"/>
        <v>-0.26341056925146233</v>
      </c>
      <c r="K125">
        <f t="shared" si="21"/>
        <v>-0.17218021179130455</v>
      </c>
      <c r="L125">
        <f t="shared" si="20"/>
        <v>-9.1230357460157785E-2</v>
      </c>
    </row>
    <row r="126" spans="1:12" x14ac:dyDescent="0.2">
      <c r="A126" s="2">
        <v>43226</v>
      </c>
      <c r="B126" s="1">
        <v>90.39</v>
      </c>
      <c r="C126" s="1">
        <v>91.13</v>
      </c>
      <c r="D126" s="1">
        <v>89.96</v>
      </c>
      <c r="E126" s="1">
        <v>90.3</v>
      </c>
      <c r="F126">
        <f t="shared" si="19"/>
        <v>1.1700000000000017</v>
      </c>
      <c r="G126">
        <f t="shared" si="23"/>
        <v>1.2514122780053829</v>
      </c>
      <c r="H126">
        <f t="shared" si="22"/>
        <v>90.112648478034558</v>
      </c>
      <c r="I126">
        <f t="shared" si="25"/>
        <v>90.338884383519797</v>
      </c>
      <c r="J126">
        <f t="shared" si="24"/>
        <v>-0.22623590548523964</v>
      </c>
      <c r="K126">
        <f t="shared" si="21"/>
        <v>-0.18299135053009158</v>
      </c>
      <c r="L126">
        <f t="shared" si="20"/>
        <v>-4.3244554955148062E-2</v>
      </c>
    </row>
    <row r="127" spans="1:12" x14ac:dyDescent="0.2">
      <c r="A127" s="2">
        <v>43227</v>
      </c>
      <c r="B127" s="1">
        <v>90.37</v>
      </c>
      <c r="C127" s="1">
        <v>91.1</v>
      </c>
      <c r="D127" s="1">
        <v>90.12</v>
      </c>
      <c r="E127" s="1">
        <v>90.64</v>
      </c>
      <c r="F127">
        <f t="shared" si="19"/>
        <v>0.97999999999998977</v>
      </c>
      <c r="G127">
        <f t="shared" si="23"/>
        <v>1.2320256867192836</v>
      </c>
      <c r="H127">
        <f t="shared" si="22"/>
        <v>90.193779481413856</v>
      </c>
      <c r="I127">
        <f t="shared" si="25"/>
        <v>90.361189243999817</v>
      </c>
      <c r="J127">
        <f t="shared" si="24"/>
        <v>-0.16740976258596163</v>
      </c>
      <c r="K127">
        <f t="shared" si="21"/>
        <v>-0.17987503294126558</v>
      </c>
      <c r="L127">
        <f t="shared" si="20"/>
        <v>1.2465270355303953E-2</v>
      </c>
    </row>
    <row r="128" spans="1:12" x14ac:dyDescent="0.2">
      <c r="A128" s="2">
        <v>43228</v>
      </c>
      <c r="B128" s="1">
        <v>90.63</v>
      </c>
      <c r="C128" s="1">
        <v>90.87</v>
      </c>
      <c r="D128" s="1">
        <v>90.14</v>
      </c>
      <c r="E128" s="1">
        <v>90.69</v>
      </c>
      <c r="F128">
        <f t="shared" si="19"/>
        <v>0.73000000000000398</v>
      </c>
      <c r="G128">
        <f t="shared" si="23"/>
        <v>1.1961667090964778</v>
      </c>
      <c r="H128">
        <f t="shared" si="22"/>
        <v>90.270121099657885</v>
      </c>
      <c r="I128">
        <f t="shared" si="25"/>
        <v>90.38554559629614</v>
      </c>
      <c r="J128">
        <f t="shared" si="24"/>
        <v>-0.11542449663825494</v>
      </c>
      <c r="K128">
        <f t="shared" si="21"/>
        <v>-0.16698492568066345</v>
      </c>
      <c r="L128">
        <f t="shared" si="20"/>
        <v>5.1560429042408512E-2</v>
      </c>
    </row>
    <row r="129" spans="1:12" x14ac:dyDescent="0.2">
      <c r="A129" s="2">
        <v>43229</v>
      </c>
      <c r="B129" s="1">
        <v>91.1</v>
      </c>
      <c r="C129" s="1">
        <v>91.61</v>
      </c>
      <c r="D129" s="1">
        <v>90.57</v>
      </c>
      <c r="E129" s="1">
        <v>91.57</v>
      </c>
      <c r="F129">
        <f t="shared" si="19"/>
        <v>1.0400000000000063</v>
      </c>
      <c r="G129">
        <f t="shared" si="23"/>
        <v>1.1850119441610154</v>
      </c>
      <c r="H129">
        <f t="shared" si="22"/>
        <v>90.470102468941292</v>
      </c>
      <c r="I129">
        <f t="shared" si="25"/>
        <v>90.473282959533464</v>
      </c>
      <c r="J129">
        <f t="shared" si="24"/>
        <v>-3.1804905921717364E-3</v>
      </c>
      <c r="K129">
        <f t="shared" si="21"/>
        <v>-0.13422403866296512</v>
      </c>
      <c r="L129">
        <f t="shared" si="20"/>
        <v>0.13104354807079338</v>
      </c>
    </row>
    <row r="130" spans="1:12" x14ac:dyDescent="0.2">
      <c r="A130" s="2">
        <v>43230</v>
      </c>
      <c r="B130" s="1">
        <v>91.96</v>
      </c>
      <c r="C130" s="1">
        <v>92.53</v>
      </c>
      <c r="D130" s="1">
        <v>91.9</v>
      </c>
      <c r="E130" s="1">
        <v>92.25</v>
      </c>
      <c r="F130">
        <f t="shared" si="19"/>
        <v>0.96000000000000796</v>
      </c>
      <c r="G130">
        <f t="shared" si="23"/>
        <v>1.1689396624352291</v>
      </c>
      <c r="H130">
        <f t="shared" si="22"/>
        <v>90.743932858334944</v>
      </c>
      <c r="I130">
        <f t="shared" si="25"/>
        <v>90.604891629197652</v>
      </c>
      <c r="J130">
        <f t="shared" si="24"/>
        <v>0.13904122913729111</v>
      </c>
      <c r="K130">
        <f t="shared" si="21"/>
        <v>-7.9570985102913883E-2</v>
      </c>
      <c r="L130">
        <f t="shared" si="20"/>
        <v>0.21861221424020499</v>
      </c>
    </row>
    <row r="131" spans="1:12" x14ac:dyDescent="0.2">
      <c r="A131" s="2">
        <v>43231</v>
      </c>
      <c r="B131" s="1">
        <v>92.64</v>
      </c>
      <c r="C131" s="1">
        <v>93.44</v>
      </c>
      <c r="D131" s="1">
        <v>92.25</v>
      </c>
      <c r="E131" s="1">
        <v>93.34</v>
      </c>
      <c r="F131">
        <f t="shared" si="19"/>
        <v>1.1899999999999977</v>
      </c>
      <c r="G131">
        <f t="shared" si="23"/>
        <v>1.1704439722612838</v>
      </c>
      <c r="H131">
        <f t="shared" si="22"/>
        <v>91.143327803206489</v>
      </c>
      <c r="I131">
        <f t="shared" si="25"/>
        <v>90.807492249257095</v>
      </c>
      <c r="J131">
        <f t="shared" si="24"/>
        <v>0.33583555394939424</v>
      </c>
      <c r="K131">
        <f t="shared" si="21"/>
        <v>3.5103227075477389E-3</v>
      </c>
      <c r="L131">
        <f t="shared" si="20"/>
        <v>0.33232523124184649</v>
      </c>
    </row>
    <row r="132" spans="1:12" x14ac:dyDescent="0.2">
      <c r="A132" s="2">
        <v>43232</v>
      </c>
      <c r="B132" s="1">
        <v>93.28</v>
      </c>
      <c r="C132" s="1">
        <v>93.39</v>
      </c>
      <c r="D132" s="1">
        <v>92.38</v>
      </c>
      <c r="E132" s="1">
        <v>92.82</v>
      </c>
      <c r="F132">
        <f t="shared" ref="F132:F163" si="26">MAX(ABS(D132-E131),ABS(C132-E131),ABS(C132-D132))</f>
        <v>1.0100000000000051</v>
      </c>
      <c r="G132">
        <f t="shared" si="23"/>
        <v>1.1589836885283356</v>
      </c>
      <c r="H132">
        <f t="shared" si="22"/>
        <v>91.401277371943948</v>
      </c>
      <c r="I132">
        <f t="shared" si="25"/>
        <v>90.956566897460263</v>
      </c>
      <c r="J132">
        <f t="shared" si="24"/>
        <v>0.44471047448368495</v>
      </c>
      <c r="K132">
        <f t="shared" si="21"/>
        <v>9.1750353062775181E-2</v>
      </c>
      <c r="L132">
        <f t="shared" ref="L132:L163" si="27">J132 - K132</f>
        <v>0.35296012142090977</v>
      </c>
    </row>
    <row r="133" spans="1:12" x14ac:dyDescent="0.2">
      <c r="A133" s="2">
        <v>43233</v>
      </c>
      <c r="B133" s="1">
        <v>93.8</v>
      </c>
      <c r="C133" s="1">
        <v>93.81</v>
      </c>
      <c r="D133" s="1">
        <v>93.04</v>
      </c>
      <c r="E133" s="1">
        <v>93.27</v>
      </c>
      <c r="F133">
        <f t="shared" si="26"/>
        <v>0.99000000000000909</v>
      </c>
      <c r="G133">
        <f t="shared" si="23"/>
        <v>1.1469134250620263</v>
      </c>
      <c r="H133">
        <f t="shared" si="22"/>
        <v>91.688773160875655</v>
      </c>
      <c r="I133">
        <f t="shared" si="25"/>
        <v>91.127932312463201</v>
      </c>
      <c r="J133">
        <f t="shared" si="24"/>
        <v>0.56084084841245385</v>
      </c>
      <c r="K133">
        <f t="shared" ref="K133:K164" si="28">J133*(2/(9+1)) + K132 * (1-(2/(9+1)))</f>
        <v>0.18556845213271092</v>
      </c>
      <c r="L133">
        <f t="shared" si="27"/>
        <v>0.37527239627974296</v>
      </c>
    </row>
    <row r="134" spans="1:12" x14ac:dyDescent="0.2">
      <c r="A134" s="2">
        <v>43234</v>
      </c>
      <c r="B134" s="1">
        <v>93.25</v>
      </c>
      <c r="C134" s="1">
        <v>93.45</v>
      </c>
      <c r="D134" s="1">
        <v>92.72</v>
      </c>
      <c r="E134" s="1">
        <v>93.4</v>
      </c>
      <c r="F134">
        <f t="shared" si="26"/>
        <v>0.73000000000000398</v>
      </c>
      <c r="G134">
        <f t="shared" si="23"/>
        <v>1.1171338947004534</v>
      </c>
      <c r="H134">
        <f t="shared" si="22"/>
        <v>91.952038828433245</v>
      </c>
      <c r="I134">
        <f t="shared" si="25"/>
        <v>91.296233622651116</v>
      </c>
      <c r="J134">
        <f t="shared" si="24"/>
        <v>0.65580520578212997</v>
      </c>
      <c r="K134">
        <f t="shared" si="28"/>
        <v>0.27961580286259474</v>
      </c>
      <c r="L134">
        <f t="shared" si="27"/>
        <v>0.37618940291953523</v>
      </c>
    </row>
    <row r="135" spans="1:12" x14ac:dyDescent="0.2">
      <c r="A135" s="2">
        <v>43235</v>
      </c>
      <c r="B135" s="1">
        <v>93.19</v>
      </c>
      <c r="C135" s="1">
        <v>93.5</v>
      </c>
      <c r="D135" s="1">
        <v>93.09</v>
      </c>
      <c r="E135" s="1">
        <v>93.25</v>
      </c>
      <c r="F135">
        <f t="shared" si="26"/>
        <v>0.40999999999999659</v>
      </c>
      <c r="G135">
        <f t="shared" si="23"/>
        <v>1.0666243307932779</v>
      </c>
      <c r="H135">
        <f t="shared" si="22"/>
        <v>92.151725162520449</v>
      </c>
      <c r="I135">
        <f t="shared" si="25"/>
        <v>91.440957058010284</v>
      </c>
      <c r="J135">
        <f t="shared" si="24"/>
        <v>0.7107681045101657</v>
      </c>
      <c r="K135">
        <f t="shared" si="28"/>
        <v>0.36584626319210894</v>
      </c>
      <c r="L135">
        <f t="shared" si="27"/>
        <v>0.34492184131805675</v>
      </c>
    </row>
    <row r="136" spans="1:12" x14ac:dyDescent="0.2">
      <c r="A136" s="2">
        <v>43236</v>
      </c>
      <c r="B136" s="1">
        <v>93.19</v>
      </c>
      <c r="C136" s="1">
        <v>93.47</v>
      </c>
      <c r="D136" s="1">
        <v>92.77</v>
      </c>
      <c r="E136" s="1">
        <v>93.3</v>
      </c>
      <c r="F136">
        <f t="shared" si="26"/>
        <v>0.70000000000000284</v>
      </c>
      <c r="G136">
        <f t="shared" si="23"/>
        <v>1.0404368785937581</v>
      </c>
      <c r="H136">
        <f t="shared" si="22"/>
        <v>92.328382829824989</v>
      </c>
      <c r="I136">
        <f t="shared" si="25"/>
        <v>91.57866394260212</v>
      </c>
      <c r="J136">
        <f t="shared" si="24"/>
        <v>0.74971888722286906</v>
      </c>
      <c r="K136">
        <f t="shared" si="28"/>
        <v>0.44262078799826099</v>
      </c>
      <c r="L136">
        <f t="shared" si="27"/>
        <v>0.30709809922460807</v>
      </c>
    </row>
    <row r="137" spans="1:12" x14ac:dyDescent="0.2">
      <c r="A137" s="2">
        <v>43237</v>
      </c>
      <c r="B137" s="1">
        <v>93.56</v>
      </c>
      <c r="C137" s="1">
        <v>93.74</v>
      </c>
      <c r="D137" s="1">
        <v>93.14</v>
      </c>
      <c r="E137" s="1">
        <v>93.46</v>
      </c>
      <c r="F137">
        <f t="shared" si="26"/>
        <v>0.59999999999999432</v>
      </c>
      <c r="G137">
        <f t="shared" si="23"/>
        <v>1.0089771015513465</v>
      </c>
      <c r="H137">
        <f t="shared" si="22"/>
        <v>92.502477779082682</v>
      </c>
      <c r="I137">
        <f t="shared" si="25"/>
        <v>91.718022169076036</v>
      </c>
      <c r="J137">
        <f t="shared" si="24"/>
        <v>0.78445561000664554</v>
      </c>
      <c r="K137">
        <f t="shared" si="28"/>
        <v>0.51098775239993799</v>
      </c>
      <c r="L137">
        <f t="shared" si="27"/>
        <v>0.27346785760670755</v>
      </c>
    </row>
    <row r="138" spans="1:12" x14ac:dyDescent="0.2">
      <c r="A138" s="2">
        <v>43238</v>
      </c>
      <c r="B138" s="1">
        <v>93.8</v>
      </c>
      <c r="C138" s="1">
        <v>94.84</v>
      </c>
      <c r="D138" s="1">
        <v>93.71</v>
      </c>
      <c r="E138" s="1">
        <v>94.38</v>
      </c>
      <c r="F138">
        <f t="shared" si="26"/>
        <v>1.3800000000000097</v>
      </c>
      <c r="G138">
        <f t="shared" si="23"/>
        <v>1.0354787371548224</v>
      </c>
      <c r="H138">
        <f t="shared" si="22"/>
        <v>92.791327351531493</v>
      </c>
      <c r="I138">
        <f t="shared" si="25"/>
        <v>91.915205712107436</v>
      </c>
      <c r="J138">
        <f t="shared" si="24"/>
        <v>0.8761216394240563</v>
      </c>
      <c r="K138">
        <f t="shared" si="28"/>
        <v>0.58401452980476165</v>
      </c>
      <c r="L138">
        <f t="shared" si="27"/>
        <v>0.29210710961929465</v>
      </c>
    </row>
    <row r="139" spans="1:12" x14ac:dyDescent="0.2">
      <c r="A139" s="2">
        <v>43239</v>
      </c>
      <c r="B139" s="1">
        <v>94.69</v>
      </c>
      <c r="C139" s="1">
        <v>95.25</v>
      </c>
      <c r="D139" s="1">
        <v>94.41</v>
      </c>
      <c r="E139" s="1">
        <v>95.17</v>
      </c>
      <c r="F139">
        <f t="shared" si="26"/>
        <v>0.87000000000000455</v>
      </c>
      <c r="G139">
        <f t="shared" si="23"/>
        <v>1.0236588273580496</v>
      </c>
      <c r="H139">
        <f t="shared" si="22"/>
        <v>93.15727698975742</v>
      </c>
      <c r="I139">
        <f t="shared" si="25"/>
        <v>92.156301585284666</v>
      </c>
      <c r="J139">
        <f t="shared" si="24"/>
        <v>1.0009754044727543</v>
      </c>
      <c r="K139">
        <f t="shared" si="28"/>
        <v>0.66740670473836017</v>
      </c>
      <c r="L139">
        <f t="shared" si="27"/>
        <v>0.33356869973439418</v>
      </c>
    </row>
    <row r="140" spans="1:12" x14ac:dyDescent="0.2">
      <c r="A140" s="2">
        <v>43240</v>
      </c>
      <c r="B140" s="1">
        <v>94.87</v>
      </c>
      <c r="C140" s="1">
        <v>95.2</v>
      </c>
      <c r="D140" s="1">
        <v>94.78</v>
      </c>
      <c r="E140" s="1">
        <v>94.83</v>
      </c>
      <c r="F140">
        <f t="shared" si="26"/>
        <v>0.42000000000000171</v>
      </c>
      <c r="G140">
        <f t="shared" si="23"/>
        <v>0.98054033968961751</v>
      </c>
      <c r="H140">
        <f t="shared" si="22"/>
        <v>93.414618991333199</v>
      </c>
      <c r="I140">
        <f t="shared" si="25"/>
        <v>92.354353319708025</v>
      </c>
      <c r="J140">
        <f t="shared" si="24"/>
        <v>1.0602656716251744</v>
      </c>
      <c r="K140">
        <f t="shared" si="28"/>
        <v>0.74597849811572303</v>
      </c>
      <c r="L140">
        <f t="shared" si="27"/>
        <v>0.31428717350945135</v>
      </c>
    </row>
    <row r="141" spans="1:12" x14ac:dyDescent="0.2">
      <c r="A141" s="2">
        <v>43241</v>
      </c>
      <c r="B141" s="1">
        <v>94.86</v>
      </c>
      <c r="C141" s="1">
        <v>95.49</v>
      </c>
      <c r="D141" s="1">
        <v>94.84</v>
      </c>
      <c r="E141" s="1">
        <v>95.2</v>
      </c>
      <c r="F141">
        <f t="shared" si="26"/>
        <v>0.65999999999999659</v>
      </c>
      <c r="G141">
        <f t="shared" si="23"/>
        <v>0.95764460114035888</v>
      </c>
      <c r="H141">
        <f t="shared" si="22"/>
        <v>93.689292992666552</v>
      </c>
      <c r="I141">
        <f t="shared" si="25"/>
        <v>92.565141962692621</v>
      </c>
      <c r="J141">
        <f t="shared" si="24"/>
        <v>1.1241510299739303</v>
      </c>
      <c r="K141">
        <f t="shared" si="28"/>
        <v>0.82161300448736452</v>
      </c>
      <c r="L141">
        <f t="shared" si="27"/>
        <v>0.30253802548656583</v>
      </c>
    </row>
    <row r="142" spans="1:12" x14ac:dyDescent="0.2">
      <c r="A142" s="2">
        <v>43242</v>
      </c>
      <c r="B142" s="1">
        <v>95.31</v>
      </c>
      <c r="C142" s="1">
        <v>95.31</v>
      </c>
      <c r="D142" s="1">
        <v>94.42</v>
      </c>
      <c r="E142" s="1">
        <v>94.99</v>
      </c>
      <c r="F142">
        <f t="shared" si="26"/>
        <v>0.89000000000000057</v>
      </c>
      <c r="G142">
        <f t="shared" si="23"/>
        <v>0.95281284391604759</v>
      </c>
      <c r="H142">
        <f t="shared" si="22"/>
        <v>93.889401763025546</v>
      </c>
      <c r="I142">
        <f t="shared" si="25"/>
        <v>92.744761076567244</v>
      </c>
      <c r="J142">
        <f t="shared" si="24"/>
        <v>1.1446406864583025</v>
      </c>
      <c r="K142">
        <f t="shared" si="28"/>
        <v>0.88621854088155216</v>
      </c>
      <c r="L142">
        <f t="shared" si="27"/>
        <v>0.25842214557675036</v>
      </c>
    </row>
    <row r="143" spans="1:12" x14ac:dyDescent="0.2">
      <c r="A143" s="2">
        <v>43243</v>
      </c>
      <c r="B143" s="1">
        <v>94.69</v>
      </c>
      <c r="C143" s="1">
        <v>95.31</v>
      </c>
      <c r="D143" s="1">
        <v>94.42</v>
      </c>
      <c r="E143" s="1">
        <v>94.97</v>
      </c>
      <c r="F143">
        <f t="shared" si="26"/>
        <v>0.89000000000000057</v>
      </c>
      <c r="G143">
        <f t="shared" si="23"/>
        <v>0.94832621220775859</v>
      </c>
      <c r="H143">
        <f t="shared" ref="H143:H169" si="29">E143*(2/(12+1)) + H142 * (1-(2/(12+1)))</f>
        <v>94.055647645637009</v>
      </c>
      <c r="I143">
        <f t="shared" si="25"/>
        <v>92.909593589414115</v>
      </c>
      <c r="J143">
        <f t="shared" si="24"/>
        <v>1.1460540562228942</v>
      </c>
      <c r="K143">
        <f t="shared" si="28"/>
        <v>0.93818564394982062</v>
      </c>
      <c r="L143">
        <f t="shared" si="27"/>
        <v>0.20786841227307362</v>
      </c>
    </row>
    <row r="144" spans="1:12" x14ac:dyDescent="0.2">
      <c r="A144" s="2">
        <v>43244</v>
      </c>
      <c r="B144" s="1">
        <v>94.77</v>
      </c>
      <c r="C144" s="1">
        <v>94.86</v>
      </c>
      <c r="D144" s="1">
        <v>93.84</v>
      </c>
      <c r="E144" s="1">
        <v>94.79</v>
      </c>
      <c r="F144">
        <f t="shared" si="26"/>
        <v>1.1299999999999955</v>
      </c>
      <c r="G144">
        <f t="shared" si="23"/>
        <v>0.9613029113357755</v>
      </c>
      <c r="H144">
        <f t="shared" si="29"/>
        <v>94.168624930923627</v>
      </c>
      <c r="I144">
        <f t="shared" si="25"/>
        <v>93.048882953161225</v>
      </c>
      <c r="J144">
        <f t="shared" si="24"/>
        <v>1.119741977762402</v>
      </c>
      <c r="K144">
        <f t="shared" si="28"/>
        <v>0.97449691071233691</v>
      </c>
      <c r="L144">
        <f t="shared" si="27"/>
        <v>0.14524506705006512</v>
      </c>
    </row>
    <row r="145" spans="1:12" x14ac:dyDescent="0.2">
      <c r="A145" s="2">
        <v>43245</v>
      </c>
      <c r="B145" s="1">
        <v>94.51</v>
      </c>
      <c r="C145" s="1">
        <v>94.52</v>
      </c>
      <c r="D145" s="1">
        <v>93.61</v>
      </c>
      <c r="E145" s="1">
        <v>94.03</v>
      </c>
      <c r="F145">
        <f t="shared" si="26"/>
        <v>1.1800000000000068</v>
      </c>
      <c r="G145">
        <f t="shared" ref="G145:G169" si="30">(G144*13+F145)/14</f>
        <v>0.97692413195464922</v>
      </c>
      <c r="H145">
        <f t="shared" si="29"/>
        <v>94.147298018473833</v>
      </c>
      <c r="I145">
        <f t="shared" si="25"/>
        <v>93.121558289964099</v>
      </c>
      <c r="J145">
        <f t="shared" si="24"/>
        <v>1.0257397285097341</v>
      </c>
      <c r="K145">
        <f t="shared" si="28"/>
        <v>0.98474547427181636</v>
      </c>
      <c r="L145">
        <f t="shared" si="27"/>
        <v>4.0994254237917693E-2</v>
      </c>
    </row>
    <row r="146" spans="1:12" x14ac:dyDescent="0.2">
      <c r="A146" s="2">
        <v>43246</v>
      </c>
      <c r="B146" s="1">
        <v>94.22</v>
      </c>
      <c r="C146" s="1">
        <v>94.33</v>
      </c>
      <c r="D146" s="1">
        <v>93.46</v>
      </c>
      <c r="E146" s="1">
        <v>93.81</v>
      </c>
      <c r="F146">
        <f t="shared" si="26"/>
        <v>0.87000000000000455</v>
      </c>
      <c r="G146">
        <f t="shared" si="30"/>
        <v>0.96928669395788891</v>
      </c>
      <c r="H146">
        <f t="shared" si="29"/>
        <v>94.095406015631696</v>
      </c>
      <c r="I146">
        <f t="shared" si="25"/>
        <v>93.172553972188979</v>
      </c>
      <c r="J146">
        <f t="shared" si="24"/>
        <v>0.92285204344271676</v>
      </c>
      <c r="K146">
        <f t="shared" si="28"/>
        <v>0.97236678810599653</v>
      </c>
      <c r="L146">
        <f t="shared" si="27"/>
        <v>-4.9514744663279764E-2</v>
      </c>
    </row>
    <row r="147" spans="1:12" x14ac:dyDescent="0.2">
      <c r="A147" s="2">
        <v>43247</v>
      </c>
      <c r="B147" s="1">
        <v>93.93</v>
      </c>
      <c r="C147" s="1">
        <v>94.6</v>
      </c>
      <c r="D147" s="1">
        <v>93.38</v>
      </c>
      <c r="E147" s="1">
        <v>93.75</v>
      </c>
      <c r="F147">
        <f t="shared" si="26"/>
        <v>1.2199999999999989</v>
      </c>
      <c r="G147">
        <f t="shared" si="30"/>
        <v>0.98719478724661103</v>
      </c>
      <c r="H147">
        <f t="shared" si="29"/>
        <v>94.042266628611429</v>
      </c>
      <c r="I147">
        <f t="shared" si="25"/>
        <v>93.215327752026838</v>
      </c>
      <c r="J147">
        <f t="shared" si="24"/>
        <v>0.82693887658459175</v>
      </c>
      <c r="K147">
        <f t="shared" si="28"/>
        <v>0.94328120580171571</v>
      </c>
      <c r="L147">
        <f t="shared" si="27"/>
        <v>-0.11634232921712395</v>
      </c>
    </row>
    <row r="148" spans="1:12" x14ac:dyDescent="0.2">
      <c r="A148" s="2">
        <v>43248</v>
      </c>
      <c r="B148" s="1">
        <v>92.69</v>
      </c>
      <c r="C148" s="1">
        <v>93.1</v>
      </c>
      <c r="D148" s="1">
        <v>91.25</v>
      </c>
      <c r="E148" s="1">
        <v>92.73</v>
      </c>
      <c r="F148">
        <f t="shared" si="26"/>
        <v>2.5</v>
      </c>
      <c r="G148">
        <f t="shared" si="30"/>
        <v>1.0952523024432816</v>
      </c>
      <c r="H148">
        <f t="shared" si="29"/>
        <v>93.840379454978915</v>
      </c>
      <c r="I148">
        <f t="shared" si="25"/>
        <v>93.179377548172994</v>
      </c>
      <c r="J148">
        <f t="shared" si="24"/>
        <v>0.66100190680592164</v>
      </c>
      <c r="K148">
        <f t="shared" si="28"/>
        <v>0.88682534600255702</v>
      </c>
      <c r="L148">
        <f t="shared" si="27"/>
        <v>-0.22582343919663539</v>
      </c>
    </row>
    <row r="149" spans="1:12" x14ac:dyDescent="0.2">
      <c r="A149" s="2">
        <v>43249</v>
      </c>
      <c r="B149" s="1">
        <v>92.46</v>
      </c>
      <c r="C149" s="1">
        <v>92.53</v>
      </c>
      <c r="D149" s="1">
        <v>91.34</v>
      </c>
      <c r="E149" s="1">
        <v>91.95</v>
      </c>
      <c r="F149">
        <f t="shared" si="26"/>
        <v>1.3900000000000006</v>
      </c>
      <c r="G149">
        <f t="shared" si="30"/>
        <v>1.1163057094116187</v>
      </c>
      <c r="H149">
        <f t="shared" si="29"/>
        <v>93.549551846520629</v>
      </c>
      <c r="I149">
        <f t="shared" si="25"/>
        <v>93.088312544604634</v>
      </c>
      <c r="J149">
        <f t="shared" si="24"/>
        <v>0.46123930191599527</v>
      </c>
      <c r="K149">
        <f t="shared" si="28"/>
        <v>0.80170813718524481</v>
      </c>
      <c r="L149">
        <f t="shared" si="27"/>
        <v>-0.34046883526924954</v>
      </c>
    </row>
    <row r="150" spans="1:12" x14ac:dyDescent="0.2">
      <c r="A150" s="2">
        <v>43250</v>
      </c>
      <c r="B150" s="1">
        <v>91.42</v>
      </c>
      <c r="C150" s="1">
        <v>91.76</v>
      </c>
      <c r="D150" s="1">
        <v>91.01</v>
      </c>
      <c r="E150" s="1">
        <v>91.59</v>
      </c>
      <c r="F150">
        <f t="shared" si="26"/>
        <v>0.93999999999999773</v>
      </c>
      <c r="G150">
        <f t="shared" si="30"/>
        <v>1.1037124444536457</v>
      </c>
      <c r="H150">
        <f t="shared" si="29"/>
        <v>93.248082331671299</v>
      </c>
      <c r="I150">
        <f t="shared" si="25"/>
        <v>92.977326430189478</v>
      </c>
      <c r="J150">
        <f t="shared" si="24"/>
        <v>0.27075590148182016</v>
      </c>
      <c r="K150">
        <f t="shared" si="28"/>
        <v>0.69551769004455988</v>
      </c>
      <c r="L150">
        <f t="shared" si="27"/>
        <v>-0.42476178856273972</v>
      </c>
    </row>
    <row r="151" spans="1:12" x14ac:dyDescent="0.2">
      <c r="A151" s="2">
        <v>43251</v>
      </c>
      <c r="B151" s="1">
        <v>91.33</v>
      </c>
      <c r="C151" s="1">
        <v>91.91</v>
      </c>
      <c r="D151" s="1">
        <v>91.28</v>
      </c>
      <c r="E151" s="1">
        <v>91.47</v>
      </c>
      <c r="F151">
        <f t="shared" si="26"/>
        <v>0.62999999999999545</v>
      </c>
      <c r="G151">
        <f t="shared" si="30"/>
        <v>1.0698758412783849</v>
      </c>
      <c r="H151">
        <f t="shared" si="29"/>
        <v>92.974531203721867</v>
      </c>
      <c r="I151">
        <f t="shared" si="25"/>
        <v>92.865672620545809</v>
      </c>
      <c r="J151">
        <f t="shared" si="24"/>
        <v>0.10885858317605823</v>
      </c>
      <c r="K151">
        <f t="shared" si="28"/>
        <v>0.57818586867085953</v>
      </c>
      <c r="L151">
        <f t="shared" si="27"/>
        <v>-0.46932728549480129</v>
      </c>
    </row>
    <row r="152" spans="1:12" x14ac:dyDescent="0.2">
      <c r="A152" s="2">
        <v>43252</v>
      </c>
      <c r="B152" s="1">
        <v>91.18</v>
      </c>
      <c r="C152" s="1">
        <v>91.55</v>
      </c>
      <c r="D152" s="1">
        <v>91.13</v>
      </c>
      <c r="E152" s="1">
        <v>91.34</v>
      </c>
      <c r="F152">
        <f t="shared" si="26"/>
        <v>0.42000000000000171</v>
      </c>
      <c r="G152">
        <f t="shared" si="30"/>
        <v>1.023456138329929</v>
      </c>
      <c r="H152">
        <f t="shared" si="29"/>
        <v>92.723064864687728</v>
      </c>
      <c r="I152">
        <f t="shared" si="25"/>
        <v>92.75265983383872</v>
      </c>
      <c r="J152">
        <f t="shared" si="24"/>
        <v>-2.9594969150991801E-2</v>
      </c>
      <c r="K152">
        <f t="shared" si="28"/>
        <v>0.45662970110648932</v>
      </c>
      <c r="L152">
        <f t="shared" si="27"/>
        <v>-0.48622467025748112</v>
      </c>
    </row>
    <row r="153" spans="1:12" x14ac:dyDescent="0.2">
      <c r="A153" s="2">
        <v>43253</v>
      </c>
      <c r="B153" s="1">
        <v>91.93</v>
      </c>
      <c r="C153" s="1">
        <v>91.97</v>
      </c>
      <c r="D153" s="1">
        <v>91.28</v>
      </c>
      <c r="E153" s="1">
        <v>91.78</v>
      </c>
      <c r="F153">
        <f t="shared" si="26"/>
        <v>0.68999999999999773</v>
      </c>
      <c r="G153">
        <f t="shared" si="30"/>
        <v>0.99963784273493395</v>
      </c>
      <c r="H153">
        <f t="shared" si="29"/>
        <v>92.577977962428079</v>
      </c>
      <c r="I153">
        <f t="shared" si="25"/>
        <v>92.680610957258082</v>
      </c>
      <c r="J153">
        <f t="shared" si="24"/>
        <v>-0.1026329948300031</v>
      </c>
      <c r="K153">
        <f t="shared" si="28"/>
        <v>0.34477716191919083</v>
      </c>
      <c r="L153">
        <f t="shared" si="27"/>
        <v>-0.44741015674919393</v>
      </c>
    </row>
    <row r="154" spans="1:12" x14ac:dyDescent="0.2">
      <c r="A154" s="2">
        <v>43254</v>
      </c>
      <c r="B154" s="1">
        <v>91.2</v>
      </c>
      <c r="C154" s="1">
        <v>91.36</v>
      </c>
      <c r="D154" s="1">
        <v>90.43</v>
      </c>
      <c r="E154" s="1">
        <v>90.72</v>
      </c>
      <c r="F154">
        <f t="shared" si="26"/>
        <v>1.3499999999999943</v>
      </c>
      <c r="G154">
        <f t="shared" si="30"/>
        <v>1.0246637111110097</v>
      </c>
      <c r="H154">
        <f t="shared" si="29"/>
        <v>92.292135198977604</v>
      </c>
      <c r="I154">
        <f t="shared" si="25"/>
        <v>92.53538051597971</v>
      </c>
      <c r="J154">
        <f t="shared" si="24"/>
        <v>-0.24324531700210628</v>
      </c>
      <c r="K154">
        <f t="shared" si="28"/>
        <v>0.22717266613493142</v>
      </c>
      <c r="L154">
        <f t="shared" si="27"/>
        <v>-0.4704179831370377</v>
      </c>
    </row>
    <row r="155" spans="1:12" x14ac:dyDescent="0.2">
      <c r="A155" s="2">
        <v>43255</v>
      </c>
      <c r="B155" s="1">
        <v>90.43</v>
      </c>
      <c r="C155" s="1">
        <v>90.43</v>
      </c>
      <c r="D155" s="1">
        <v>89.69</v>
      </c>
      <c r="E155" s="1">
        <v>89.89</v>
      </c>
      <c r="F155">
        <f t="shared" si="26"/>
        <v>1.0300000000000011</v>
      </c>
      <c r="G155">
        <f t="shared" si="30"/>
        <v>1.0250448746030805</v>
      </c>
      <c r="H155">
        <f t="shared" si="29"/>
        <v>91.922575937596434</v>
      </c>
      <c r="I155">
        <f t="shared" si="25"/>
        <v>92.339426403684925</v>
      </c>
      <c r="J155">
        <f t="shared" si="24"/>
        <v>-0.41685046608849063</v>
      </c>
      <c r="K155">
        <f t="shared" si="28"/>
        <v>9.8368039690247031E-2</v>
      </c>
      <c r="L155">
        <f t="shared" si="27"/>
        <v>-0.51521850577873762</v>
      </c>
    </row>
    <row r="156" spans="1:12" x14ac:dyDescent="0.2">
      <c r="A156" s="2">
        <v>43256</v>
      </c>
      <c r="B156" s="1">
        <v>89.85</v>
      </c>
      <c r="C156" s="1">
        <v>89.92</v>
      </c>
      <c r="D156" s="1">
        <v>89.14</v>
      </c>
      <c r="E156" s="1">
        <v>89.4</v>
      </c>
      <c r="F156">
        <f t="shared" si="26"/>
        <v>0.78000000000000114</v>
      </c>
      <c r="G156">
        <f t="shared" si="30"/>
        <v>1.0075416692742891</v>
      </c>
      <c r="H156">
        <f t="shared" si="29"/>
        <v>91.534487331812372</v>
      </c>
      <c r="I156">
        <f t="shared" si="25"/>
        <v>92.121691114523074</v>
      </c>
      <c r="J156">
        <f t="shared" ref="J156:J169" si="31">H156 - I156</f>
        <v>-0.58720378271070217</v>
      </c>
      <c r="K156">
        <f t="shared" si="28"/>
        <v>-3.8746324789942804E-2</v>
      </c>
      <c r="L156">
        <f t="shared" si="27"/>
        <v>-0.54845745792075939</v>
      </c>
    </row>
    <row r="157" spans="1:12" x14ac:dyDescent="0.2">
      <c r="A157" s="2">
        <v>43257</v>
      </c>
      <c r="B157" s="1">
        <v>89.34</v>
      </c>
      <c r="C157" s="1">
        <v>89.48</v>
      </c>
      <c r="D157" s="1">
        <v>88.9</v>
      </c>
      <c r="E157" s="1">
        <v>88.95</v>
      </c>
      <c r="F157">
        <f t="shared" si="26"/>
        <v>0.57999999999999829</v>
      </c>
      <c r="G157">
        <f t="shared" si="30"/>
        <v>0.97700297861183982</v>
      </c>
      <c r="H157">
        <f t="shared" si="29"/>
        <v>91.136873896148927</v>
      </c>
      <c r="I157">
        <f t="shared" ref="I157:I169" si="32">E157*(2/(26+1)) + I156 * (1-(2/(26+1)))</f>
        <v>91.886751031965815</v>
      </c>
      <c r="J157">
        <f t="shared" si="31"/>
        <v>-0.74987713581688809</v>
      </c>
      <c r="K157">
        <f t="shared" si="28"/>
        <v>-0.18097248699533189</v>
      </c>
      <c r="L157">
        <f t="shared" si="27"/>
        <v>-0.56890464882155622</v>
      </c>
    </row>
    <row r="158" spans="1:12" x14ac:dyDescent="0.2">
      <c r="A158" s="2">
        <v>43258</v>
      </c>
      <c r="B158" s="1">
        <v>88.66</v>
      </c>
      <c r="C158" s="1">
        <v>88.87</v>
      </c>
      <c r="D158" s="1">
        <v>88.06</v>
      </c>
      <c r="E158" s="1">
        <v>88.16</v>
      </c>
      <c r="F158">
        <f t="shared" si="26"/>
        <v>0.89000000000000057</v>
      </c>
      <c r="G158">
        <f t="shared" si="30"/>
        <v>0.97078848013956553</v>
      </c>
      <c r="H158">
        <f t="shared" si="29"/>
        <v>90.678893296741393</v>
      </c>
      <c r="I158">
        <f t="shared" si="32"/>
        <v>91.610695399968336</v>
      </c>
      <c r="J158">
        <f t="shared" si="31"/>
        <v>-0.93180210322694279</v>
      </c>
      <c r="K158">
        <f t="shared" si="28"/>
        <v>-0.33113841024165408</v>
      </c>
      <c r="L158">
        <f t="shared" si="27"/>
        <v>-0.60066369298528866</v>
      </c>
    </row>
    <row r="159" spans="1:12" x14ac:dyDescent="0.2">
      <c r="A159" s="2">
        <v>43259</v>
      </c>
      <c r="B159" s="1">
        <v>88.01</v>
      </c>
      <c r="C159" s="1">
        <v>88.49</v>
      </c>
      <c r="D159" s="1">
        <v>87.65</v>
      </c>
      <c r="E159" s="1">
        <v>87.91</v>
      </c>
      <c r="F159">
        <f t="shared" si="26"/>
        <v>0.8399999999999892</v>
      </c>
      <c r="G159">
        <f t="shared" si="30"/>
        <v>0.9614464458438815</v>
      </c>
      <c r="H159">
        <f t="shared" si="29"/>
        <v>90.252909712627329</v>
      </c>
      <c r="I159">
        <f t="shared" si="32"/>
        <v>91.336569814785491</v>
      </c>
      <c r="J159">
        <f t="shared" si="31"/>
        <v>-1.0836601021581629</v>
      </c>
      <c r="K159">
        <f t="shared" si="28"/>
        <v>-0.48164274862495587</v>
      </c>
      <c r="L159">
        <f t="shared" si="27"/>
        <v>-0.60201735353320696</v>
      </c>
    </row>
    <row r="160" spans="1:12" x14ac:dyDescent="0.2">
      <c r="A160" s="2">
        <v>43260</v>
      </c>
      <c r="B160" s="1">
        <v>87.82</v>
      </c>
      <c r="C160" s="1">
        <v>87.87</v>
      </c>
      <c r="D160" s="1">
        <v>86.78</v>
      </c>
      <c r="E160" s="1">
        <v>86.92</v>
      </c>
      <c r="F160">
        <f t="shared" si="26"/>
        <v>1.1299999999999955</v>
      </c>
      <c r="G160">
        <f t="shared" si="30"/>
        <v>0.97348598542646114</v>
      </c>
      <c r="H160">
        <f t="shared" si="29"/>
        <v>89.740154372223117</v>
      </c>
      <c r="I160">
        <f t="shared" si="32"/>
        <v>91.009416495171749</v>
      </c>
      <c r="J160">
        <f t="shared" si="31"/>
        <v>-1.2692621229486321</v>
      </c>
      <c r="K160">
        <f t="shared" si="28"/>
        <v>-0.63916662348969111</v>
      </c>
      <c r="L160">
        <f t="shared" si="27"/>
        <v>-0.63009549945894094</v>
      </c>
    </row>
    <row r="161" spans="1:12" x14ac:dyDescent="0.2">
      <c r="A161" s="2">
        <v>43261</v>
      </c>
      <c r="B161" s="1">
        <v>87.13</v>
      </c>
      <c r="C161" s="1">
        <v>87.87</v>
      </c>
      <c r="D161" s="1">
        <v>86.83</v>
      </c>
      <c r="E161" s="1">
        <v>86.83</v>
      </c>
      <c r="F161">
        <f t="shared" si="26"/>
        <v>1.0400000000000063</v>
      </c>
      <c r="G161">
        <f t="shared" si="30"/>
        <v>0.97823698646742863</v>
      </c>
      <c r="H161">
        <f t="shared" si="29"/>
        <v>89.292438314958019</v>
      </c>
      <c r="I161">
        <f t="shared" si="32"/>
        <v>90.699830088121985</v>
      </c>
      <c r="J161">
        <f t="shared" si="31"/>
        <v>-1.4073917731639654</v>
      </c>
      <c r="K161">
        <f t="shared" si="28"/>
        <v>-0.79281165342454596</v>
      </c>
      <c r="L161">
        <f t="shared" si="27"/>
        <v>-0.61458011973941939</v>
      </c>
    </row>
    <row r="162" spans="1:12" x14ac:dyDescent="0.2">
      <c r="A162" s="2">
        <v>43262</v>
      </c>
      <c r="B162" s="1">
        <v>86.95</v>
      </c>
      <c r="C162" s="1">
        <v>87.35</v>
      </c>
      <c r="D162" s="1">
        <v>86.39</v>
      </c>
      <c r="E162" s="1">
        <v>86.42</v>
      </c>
      <c r="F162">
        <f t="shared" si="26"/>
        <v>0.95999999999999375</v>
      </c>
      <c r="G162">
        <f t="shared" si="30"/>
        <v>0.97693434457689754</v>
      </c>
      <c r="H162">
        <f t="shared" si="29"/>
        <v>88.850524728041407</v>
      </c>
      <c r="I162">
        <f t="shared" si="32"/>
        <v>90.382805637149986</v>
      </c>
      <c r="J162">
        <f t="shared" si="31"/>
        <v>-1.5322809091085787</v>
      </c>
      <c r="K162">
        <f t="shared" si="28"/>
        <v>-0.9407055045613526</v>
      </c>
      <c r="L162">
        <f t="shared" si="27"/>
        <v>-0.59157540454722612</v>
      </c>
    </row>
    <row r="163" spans="1:12" x14ac:dyDescent="0.2">
      <c r="A163" s="2">
        <v>43263</v>
      </c>
      <c r="B163" s="1">
        <v>86.58</v>
      </c>
      <c r="C163" s="1">
        <v>87.42</v>
      </c>
      <c r="D163" s="1">
        <v>86.45</v>
      </c>
      <c r="E163" s="1">
        <v>86.98</v>
      </c>
      <c r="F163">
        <f t="shared" si="26"/>
        <v>1</v>
      </c>
      <c r="G163">
        <f t="shared" si="30"/>
        <v>0.97858189139283347</v>
      </c>
      <c r="H163">
        <f t="shared" si="29"/>
        <v>88.562751692958116</v>
      </c>
      <c r="I163">
        <f t="shared" si="32"/>
        <v>90.130745960324063</v>
      </c>
      <c r="J163">
        <f t="shared" si="31"/>
        <v>-1.5679942673659468</v>
      </c>
      <c r="K163">
        <f t="shared" si="28"/>
        <v>-1.0661632571222714</v>
      </c>
      <c r="L163">
        <f t="shared" si="27"/>
        <v>-0.50183101024367538</v>
      </c>
    </row>
    <row r="164" spans="1:12" x14ac:dyDescent="0.2">
      <c r="A164" s="2">
        <v>43264</v>
      </c>
      <c r="B164" s="1">
        <v>87.15</v>
      </c>
      <c r="C164" s="1">
        <v>87.69</v>
      </c>
      <c r="D164" s="1">
        <v>86.76</v>
      </c>
      <c r="E164" s="1">
        <v>87.52</v>
      </c>
      <c r="F164">
        <f t="shared" ref="F164:F169" si="33">MAX(ABS(D164-E163),ABS(C164-E163),ABS(C164-D164))</f>
        <v>0.92999999999999261</v>
      </c>
      <c r="G164">
        <f t="shared" si="30"/>
        <v>0.97511175629334479</v>
      </c>
      <c r="H164">
        <f t="shared" si="29"/>
        <v>88.40232835557994</v>
      </c>
      <c r="I164">
        <f t="shared" si="32"/>
        <v>89.937357370670426</v>
      </c>
      <c r="J164">
        <f t="shared" si="31"/>
        <v>-1.5350290150904868</v>
      </c>
      <c r="K164">
        <f t="shared" si="28"/>
        <v>-1.1599364087159145</v>
      </c>
      <c r="L164">
        <f t="shared" ref="L164:L169" si="34">J164 - K164</f>
        <v>-0.37509260637457231</v>
      </c>
    </row>
    <row r="165" spans="1:12" x14ac:dyDescent="0.2">
      <c r="A165" s="2">
        <v>43265</v>
      </c>
      <c r="B165" s="1">
        <v>87.5</v>
      </c>
      <c r="C165" s="1">
        <v>87.7</v>
      </c>
      <c r="D165" s="1">
        <v>86.82</v>
      </c>
      <c r="E165" s="1">
        <v>87.09</v>
      </c>
      <c r="F165">
        <f t="shared" si="33"/>
        <v>0.88000000000000966</v>
      </c>
      <c r="G165">
        <f t="shared" si="30"/>
        <v>0.9683180594152494</v>
      </c>
      <c r="H165">
        <f t="shared" si="29"/>
        <v>88.200431685490713</v>
      </c>
      <c r="I165">
        <f t="shared" si="32"/>
        <v>89.726442009880031</v>
      </c>
      <c r="J165">
        <f t="shared" si="31"/>
        <v>-1.5260103243893184</v>
      </c>
      <c r="K165">
        <f t="shared" ref="K165:K169" si="35">J165*(2/(9+1)) + K164 * (1-(2/(9+1)))</f>
        <v>-1.2331511918505953</v>
      </c>
      <c r="L165">
        <f t="shared" si="34"/>
        <v>-0.29285913253872309</v>
      </c>
    </row>
    <row r="166" spans="1:12" x14ac:dyDescent="0.2">
      <c r="A166" s="2">
        <v>43266</v>
      </c>
      <c r="B166" s="1">
        <v>86.62</v>
      </c>
      <c r="C166" s="1">
        <v>87.49</v>
      </c>
      <c r="D166" s="1">
        <v>86.58</v>
      </c>
      <c r="E166" s="1">
        <v>86.82</v>
      </c>
      <c r="F166">
        <f t="shared" si="33"/>
        <v>0.90999999999999659</v>
      </c>
      <c r="G166">
        <f t="shared" si="30"/>
        <v>0.96415248374273133</v>
      </c>
      <c r="H166">
        <f t="shared" si="29"/>
        <v>87.988057580030613</v>
      </c>
      <c r="I166">
        <f t="shared" si="32"/>
        <v>89.511150009148167</v>
      </c>
      <c r="J166">
        <f t="shared" si="31"/>
        <v>-1.523092429117554</v>
      </c>
      <c r="K166">
        <f t="shared" si="35"/>
        <v>-1.2911394393039872</v>
      </c>
      <c r="L166">
        <f t="shared" si="34"/>
        <v>-0.23195298981356682</v>
      </c>
    </row>
    <row r="167" spans="1:12" x14ac:dyDescent="0.2">
      <c r="A167" s="2">
        <v>43267</v>
      </c>
      <c r="B167" s="1">
        <v>87.28</v>
      </c>
      <c r="C167" s="1">
        <v>88.99</v>
      </c>
      <c r="D167" s="1">
        <v>87.28</v>
      </c>
      <c r="E167" s="1">
        <v>88.84</v>
      </c>
      <c r="F167">
        <f t="shared" si="33"/>
        <v>2.1700000000000017</v>
      </c>
      <c r="G167">
        <f t="shared" si="30"/>
        <v>1.0502844491896792</v>
      </c>
      <c r="H167">
        <f t="shared" si="29"/>
        <v>88.119125644641286</v>
      </c>
      <c r="I167">
        <f t="shared" si="32"/>
        <v>89.461435193655703</v>
      </c>
      <c r="J167">
        <f t="shared" si="31"/>
        <v>-1.3423095490144163</v>
      </c>
      <c r="K167">
        <f t="shared" si="35"/>
        <v>-1.3013734612460732</v>
      </c>
      <c r="L167">
        <f t="shared" si="34"/>
        <v>-4.0936087768343121E-2</v>
      </c>
    </row>
    <row r="168" spans="1:12" x14ac:dyDescent="0.2">
      <c r="A168" s="2">
        <v>43268</v>
      </c>
      <c r="B168" s="1">
        <v>88.63</v>
      </c>
      <c r="C168" s="1">
        <v>88.63</v>
      </c>
      <c r="D168" s="1">
        <v>87.23</v>
      </c>
      <c r="E168" s="1">
        <v>87.27</v>
      </c>
      <c r="F168">
        <f t="shared" si="33"/>
        <v>1.6099999999999994</v>
      </c>
      <c r="G168">
        <f t="shared" si="30"/>
        <v>1.0902641313904164</v>
      </c>
      <c r="H168">
        <f t="shared" si="29"/>
        <v>87.988490930081099</v>
      </c>
      <c r="I168">
        <f t="shared" si="32"/>
        <v>89.299106660792319</v>
      </c>
      <c r="J168">
        <f t="shared" si="31"/>
        <v>-1.3106157307112198</v>
      </c>
      <c r="K168">
        <f t="shared" si="35"/>
        <v>-1.3032219151391027</v>
      </c>
      <c r="L168">
        <f t="shared" si="34"/>
        <v>-7.3938155721171572E-3</v>
      </c>
    </row>
    <row r="169" spans="1:12" x14ac:dyDescent="0.2">
      <c r="A169" s="2">
        <v>43269</v>
      </c>
      <c r="B169" s="1">
        <v>87.39</v>
      </c>
      <c r="C169" s="1">
        <v>87.55</v>
      </c>
      <c r="D169" s="1">
        <v>86.79</v>
      </c>
      <c r="E169" s="1">
        <v>87.16</v>
      </c>
      <c r="F169">
        <f t="shared" si="33"/>
        <v>0.75999999999999091</v>
      </c>
      <c r="G169">
        <f t="shared" si="30"/>
        <v>1.0666738362911004</v>
      </c>
      <c r="H169">
        <f t="shared" si="29"/>
        <v>87.861030786991705</v>
      </c>
      <c r="I169">
        <f t="shared" si="32"/>
        <v>89.140654315548446</v>
      </c>
      <c r="J169">
        <f t="shared" si="31"/>
        <v>-1.2796235285567406</v>
      </c>
      <c r="K169">
        <f t="shared" si="35"/>
        <v>-1.2985022378226303</v>
      </c>
      <c r="L169">
        <f t="shared" si="34"/>
        <v>1.8878709265889748E-2</v>
      </c>
    </row>
    <row r="170" spans="1:12" x14ac:dyDescent="0.2">
      <c r="A170" s="2">
        <v>43270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42</vt:i4>
      </vt:variant>
    </vt:vector>
  </HeadingPairs>
  <TitlesOfParts>
    <vt:vector size="43" baseType="lpstr">
      <vt:lpstr>Sample Data Set</vt:lpstr>
      <vt:lpstr>'Sample Data Set'!ExternalData_1</vt:lpstr>
      <vt:lpstr>'Sample Data Set'!ExternalData_10</vt:lpstr>
      <vt:lpstr>'Sample Data Set'!ExternalData_11</vt:lpstr>
      <vt:lpstr>'Sample Data Set'!ExternalData_12</vt:lpstr>
      <vt:lpstr>'Sample Data Set'!ExternalData_13</vt:lpstr>
      <vt:lpstr>'Sample Data Set'!ExternalData_14</vt:lpstr>
      <vt:lpstr>'Sample Data Set'!ExternalData_15</vt:lpstr>
      <vt:lpstr>'Sample Data Set'!ExternalData_16</vt:lpstr>
      <vt:lpstr>'Sample Data Set'!ExternalData_17</vt:lpstr>
      <vt:lpstr>'Sample Data Set'!ExternalData_18</vt:lpstr>
      <vt:lpstr>'Sample Data Set'!ExternalData_19</vt:lpstr>
      <vt:lpstr>'Sample Data Set'!ExternalData_2</vt:lpstr>
      <vt:lpstr>'Sample Data Set'!ExternalData_20</vt:lpstr>
      <vt:lpstr>'Sample Data Set'!ExternalData_21</vt:lpstr>
      <vt:lpstr>'Sample Data Set'!ExternalData_22</vt:lpstr>
      <vt:lpstr>'Sample Data Set'!ExternalData_23</vt:lpstr>
      <vt:lpstr>'Sample Data Set'!ExternalData_24</vt:lpstr>
      <vt:lpstr>'Sample Data Set'!ExternalData_25</vt:lpstr>
      <vt:lpstr>'Sample Data Set'!ExternalData_26</vt:lpstr>
      <vt:lpstr>'Sample Data Set'!ExternalData_27</vt:lpstr>
      <vt:lpstr>'Sample Data Set'!ExternalData_28</vt:lpstr>
      <vt:lpstr>'Sample Data Set'!ExternalData_29</vt:lpstr>
      <vt:lpstr>'Sample Data Set'!ExternalData_3</vt:lpstr>
      <vt:lpstr>'Sample Data Set'!ExternalData_30</vt:lpstr>
      <vt:lpstr>'Sample Data Set'!ExternalData_31</vt:lpstr>
      <vt:lpstr>'Sample Data Set'!ExternalData_32</vt:lpstr>
      <vt:lpstr>'Sample Data Set'!ExternalData_33</vt:lpstr>
      <vt:lpstr>'Sample Data Set'!ExternalData_36</vt:lpstr>
      <vt:lpstr>'Sample Data Set'!ExternalData_37</vt:lpstr>
      <vt:lpstr>'Sample Data Set'!ExternalData_38</vt:lpstr>
      <vt:lpstr>'Sample Data Set'!ExternalData_39</vt:lpstr>
      <vt:lpstr>'Sample Data Set'!ExternalData_4</vt:lpstr>
      <vt:lpstr>'Sample Data Set'!ExternalData_40</vt:lpstr>
      <vt:lpstr>'Sample Data Set'!ExternalData_41</vt:lpstr>
      <vt:lpstr>'Sample Data Set'!ExternalData_42</vt:lpstr>
      <vt:lpstr>'Sample Data Set'!ExternalData_43</vt:lpstr>
      <vt:lpstr>'Sample Data Set'!ExternalData_44</vt:lpstr>
      <vt:lpstr>'Sample Data Set'!ExternalData_5</vt:lpstr>
      <vt:lpstr>'Sample Data Set'!ExternalData_6</vt:lpstr>
      <vt:lpstr>'Sample Data Set'!ExternalData_7</vt:lpstr>
      <vt:lpstr>'Sample Data Set'!ExternalData_8</vt:lpstr>
      <vt:lpstr>'Sample Data Set'!ExternalData_9</vt:lpstr>
    </vt:vector>
  </TitlesOfParts>
  <Company>http://www.OptionTradingTips.com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</dc:creator>
  <cp:lastModifiedBy>DELL</cp:lastModifiedBy>
  <cp:lastPrinted>2013-09-03T01:52:05Z</cp:lastPrinted>
  <dcterms:created xsi:type="dcterms:W3CDTF">2006-03-23T23:14:50Z</dcterms:created>
  <dcterms:modified xsi:type="dcterms:W3CDTF">2020-08-25T18:37:52Z</dcterms:modified>
</cp:coreProperties>
</file>