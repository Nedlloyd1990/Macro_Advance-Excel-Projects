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85" windowWidth="15180" windowHeight="7860"/>
  </bookViews>
  <sheets>
    <sheet name="Sample Data Set" sheetId="6" r:id="rId1"/>
  </sheets>
  <definedNames>
    <definedName name="ATRWindow">#REF!</definedName>
    <definedName name="Days">#REF!</definedName>
    <definedName name="DaysInYear">#REF!</definedName>
    <definedName name="EndDate">#REF!</definedName>
    <definedName name="ExternalData_1" localSheetId="0">'Sample Data Set'!$A$2:$A$170</definedName>
    <definedName name="ExternalData_10" localSheetId="0">'Sample Data Set'!$A$2:$A$170</definedName>
    <definedName name="ExternalData_11" localSheetId="0">'Sample Data Set'!$A$2:$A$170</definedName>
    <definedName name="ExternalData_12" localSheetId="0">'Sample Data Set'!$A$2:$A$170</definedName>
    <definedName name="ExternalData_13" localSheetId="0">'Sample Data Set'!$A$2:$A$170</definedName>
    <definedName name="ExternalData_14" localSheetId="0">'Sample Data Set'!$A$2:$A$170</definedName>
    <definedName name="ExternalData_15" localSheetId="0">'Sample Data Set'!$A$2:$A$170</definedName>
    <definedName name="ExternalData_16" localSheetId="0">'Sample Data Set'!$A$2:$A$170</definedName>
    <definedName name="ExternalData_17" localSheetId="0">'Sample Data Set'!$A$2:$A$170</definedName>
    <definedName name="ExternalData_18" localSheetId="0">'Sample Data Set'!$A$2:$A$170</definedName>
    <definedName name="ExternalData_19" localSheetId="0">'Sample Data Set'!$A$2:$A$170</definedName>
    <definedName name="ExternalData_2" localSheetId="0">'Sample Data Set'!$A$2:$A$170</definedName>
    <definedName name="ExternalData_20" localSheetId="0">'Sample Data Set'!$A$2:$A$170</definedName>
    <definedName name="ExternalData_21" localSheetId="0">'Sample Data Set'!$A$2:$A$170</definedName>
    <definedName name="ExternalData_22" localSheetId="0">'Sample Data Set'!$A$2:$A$170</definedName>
    <definedName name="ExternalData_23" localSheetId="0">'Sample Data Set'!$A$2:$A$170</definedName>
    <definedName name="ExternalData_24" localSheetId="0">'Sample Data Set'!$A$2:$A$170</definedName>
    <definedName name="ExternalData_25" localSheetId="0">'Sample Data Set'!$A$2:$A$170</definedName>
    <definedName name="ExternalData_26" localSheetId="0">'Sample Data Set'!$A$2:$A$170</definedName>
    <definedName name="ExternalData_27" localSheetId="0">'Sample Data Set'!$A$2:$A$170</definedName>
    <definedName name="ExternalData_28" localSheetId="0">'Sample Data Set'!$A$2:$A$170</definedName>
    <definedName name="ExternalData_29" localSheetId="0">'Sample Data Set'!$A$2:$A$170</definedName>
    <definedName name="ExternalData_3" localSheetId="0">'Sample Data Set'!$A$2:$A$170</definedName>
    <definedName name="ExternalData_30" localSheetId="0">'Sample Data Set'!$A$2:$A$170</definedName>
    <definedName name="ExternalData_31" localSheetId="0">'Sample Data Set'!$A$2:$A$170</definedName>
    <definedName name="ExternalData_32" localSheetId="0">'Sample Data Set'!$A$2:$A$170</definedName>
    <definedName name="ExternalData_33" localSheetId="0">'Sample Data Set'!$A$2:$A$170</definedName>
    <definedName name="ExternalData_36" localSheetId="0">'Sample Data Set'!$A$2:$A$170</definedName>
    <definedName name="ExternalData_37" localSheetId="0">'Sample Data Set'!$A$2:$A$170</definedName>
    <definedName name="ExternalData_38" localSheetId="0">'Sample Data Set'!$A$2:$A$170</definedName>
    <definedName name="ExternalData_39" localSheetId="0">'Sample Data Set'!$A$2:$A$170</definedName>
    <definedName name="ExternalData_4" localSheetId="0">'Sample Data Set'!$A$2:$A$170</definedName>
    <definedName name="ExternalData_40" localSheetId="0">'Sample Data Set'!$A$2:$A$170</definedName>
    <definedName name="ExternalData_41" localSheetId="0">'Sample Data Set'!$A$2:$A$170</definedName>
    <definedName name="ExternalData_42" localSheetId="0">'Sample Data Set'!$A$2:$A$170</definedName>
    <definedName name="ExternalData_43" localSheetId="0">'Sample Data Set'!$A$2:$A$170</definedName>
    <definedName name="ExternalData_44" localSheetId="0">'Sample Data Set'!$A$2:$A$170</definedName>
    <definedName name="ExternalData_5" localSheetId="0">'Sample Data Set'!$A$2:$A$170</definedName>
    <definedName name="ExternalData_6" localSheetId="0">'Sample Data Set'!$A$2:$A$170</definedName>
    <definedName name="ExternalData_7" localSheetId="0">'Sample Data Set'!$A$2:$A$170</definedName>
    <definedName name="ExternalData_8" localSheetId="0">'Sample Data Set'!$A$2:$A$170</definedName>
    <definedName name="ExternalData_9" localSheetId="0">'Sample Data Set'!$A$2:$A$170</definedName>
    <definedName name="RSIWindow">#REF!</definedName>
    <definedName name="StartDate">#REF!</definedName>
    <definedName name="StockTicker">#REF!</definedName>
    <definedName name="VolatilityDays">#REF!</definedName>
  </definedNames>
  <calcPr calcId="144525"/>
</workbook>
</file>

<file path=xl/calcChain.xml><?xml version="1.0" encoding="utf-8"?>
<calcChain xmlns="http://schemas.openxmlformats.org/spreadsheetml/2006/main">
  <c r="F4" i="6" l="1"/>
  <c r="G4" i="6" s="1"/>
  <c r="F5" i="6"/>
  <c r="F6" i="6"/>
  <c r="H6" i="6" s="1"/>
  <c r="F7" i="6"/>
  <c r="H7" i="6" s="1"/>
  <c r="F8" i="6"/>
  <c r="H8" i="6" s="1"/>
  <c r="F9" i="6"/>
  <c r="H9" i="6" s="1"/>
  <c r="F10" i="6"/>
  <c r="H10" i="6" s="1"/>
  <c r="F11" i="6"/>
  <c r="H11" i="6" s="1"/>
  <c r="F12" i="6"/>
  <c r="H12" i="6" s="1"/>
  <c r="F13" i="6"/>
  <c r="H13" i="6" s="1"/>
  <c r="F14" i="6"/>
  <c r="H14" i="6" s="1"/>
  <c r="F15" i="6"/>
  <c r="H15" i="6" s="1"/>
  <c r="F16" i="6"/>
  <c r="H16" i="6" s="1"/>
  <c r="F17" i="6"/>
  <c r="H17" i="6" s="1"/>
  <c r="F18" i="6"/>
  <c r="H18" i="6" s="1"/>
  <c r="F19" i="6"/>
  <c r="H19" i="6" s="1"/>
  <c r="F20" i="6"/>
  <c r="H20" i="6" s="1"/>
  <c r="F21" i="6"/>
  <c r="H21" i="6" s="1"/>
  <c r="F22" i="6"/>
  <c r="H22" i="6" s="1"/>
  <c r="F23" i="6"/>
  <c r="H23" i="6" s="1"/>
  <c r="F24" i="6"/>
  <c r="H24" i="6" s="1"/>
  <c r="F25" i="6"/>
  <c r="H25" i="6" s="1"/>
  <c r="F26" i="6"/>
  <c r="H26" i="6" s="1"/>
  <c r="F27" i="6"/>
  <c r="H27" i="6" s="1"/>
  <c r="F28" i="6"/>
  <c r="H28" i="6" s="1"/>
  <c r="F29" i="6"/>
  <c r="H29" i="6" s="1"/>
  <c r="F30" i="6"/>
  <c r="H30" i="6" s="1"/>
  <c r="F31" i="6"/>
  <c r="H31" i="6" s="1"/>
  <c r="F32" i="6"/>
  <c r="H32" i="6" s="1"/>
  <c r="F33" i="6"/>
  <c r="H33" i="6" s="1"/>
  <c r="F34" i="6"/>
  <c r="H34" i="6" s="1"/>
  <c r="F35" i="6"/>
  <c r="H35" i="6" s="1"/>
  <c r="F36" i="6"/>
  <c r="H36" i="6" s="1"/>
  <c r="F37" i="6"/>
  <c r="H37" i="6" s="1"/>
  <c r="F38" i="6"/>
  <c r="H38" i="6" s="1"/>
  <c r="F39" i="6"/>
  <c r="H39" i="6" s="1"/>
  <c r="F40" i="6"/>
  <c r="H40" i="6" s="1"/>
  <c r="F41" i="6"/>
  <c r="H41" i="6" s="1"/>
  <c r="F42" i="6"/>
  <c r="H42" i="6" s="1"/>
  <c r="F43" i="6"/>
  <c r="H43" i="6" s="1"/>
  <c r="F44" i="6"/>
  <c r="H44" i="6" s="1"/>
  <c r="F45" i="6"/>
  <c r="H45" i="6" s="1"/>
  <c r="F46" i="6"/>
  <c r="H46" i="6" s="1"/>
  <c r="F47" i="6"/>
  <c r="H47" i="6" s="1"/>
  <c r="F48" i="6"/>
  <c r="H48" i="6" s="1"/>
  <c r="F49" i="6"/>
  <c r="H49" i="6" s="1"/>
  <c r="F50" i="6"/>
  <c r="H50" i="6" s="1"/>
  <c r="F51" i="6"/>
  <c r="H51" i="6" s="1"/>
  <c r="F52" i="6"/>
  <c r="H52" i="6" s="1"/>
  <c r="F53" i="6"/>
  <c r="H53" i="6" s="1"/>
  <c r="F54" i="6"/>
  <c r="H54" i="6" s="1"/>
  <c r="F55" i="6"/>
  <c r="H55" i="6" s="1"/>
  <c r="F56" i="6"/>
  <c r="H56" i="6" s="1"/>
  <c r="G56" i="6" l="1"/>
  <c r="G54" i="6"/>
  <c r="G52" i="6"/>
  <c r="G50" i="6"/>
  <c r="G48" i="6"/>
  <c r="G46" i="6"/>
  <c r="G44" i="6"/>
  <c r="G42" i="6"/>
  <c r="G40" i="6"/>
  <c r="G38" i="6"/>
  <c r="G36" i="6"/>
  <c r="G34" i="6"/>
  <c r="G32" i="6"/>
  <c r="G30" i="6"/>
  <c r="G28" i="6"/>
  <c r="G26" i="6"/>
  <c r="G24" i="6"/>
  <c r="G22" i="6"/>
  <c r="G20" i="6"/>
  <c r="G18" i="6"/>
  <c r="G16" i="6"/>
  <c r="G14" i="6"/>
  <c r="G12" i="6"/>
  <c r="G10" i="6"/>
  <c r="G8" i="6"/>
  <c r="G6" i="6"/>
  <c r="H4" i="6"/>
  <c r="H5" i="6"/>
  <c r="G5" i="6"/>
  <c r="G55" i="6"/>
  <c r="G53" i="6"/>
  <c r="G51" i="6"/>
  <c r="G49" i="6"/>
  <c r="G47" i="6"/>
  <c r="G45" i="6"/>
  <c r="G43" i="6"/>
  <c r="G41" i="6"/>
  <c r="G39" i="6"/>
  <c r="G37" i="6"/>
  <c r="G35" i="6"/>
  <c r="G33" i="6"/>
  <c r="G31" i="6"/>
  <c r="G29" i="6"/>
  <c r="G27" i="6"/>
  <c r="G25" i="6"/>
  <c r="G23" i="6"/>
  <c r="G21" i="6"/>
  <c r="G19" i="6"/>
  <c r="G17" i="6"/>
  <c r="G15" i="6"/>
  <c r="G13" i="6"/>
  <c r="G11" i="6"/>
  <c r="G9" i="6"/>
  <c r="G7" i="6"/>
  <c r="I17" i="6" l="1"/>
  <c r="I18" i="6" s="1"/>
  <c r="J17" i="6"/>
  <c r="I19" i="6" l="1"/>
  <c r="J18" i="6"/>
  <c r="K18" i="6" s="1"/>
  <c r="K17" i="6"/>
  <c r="L17" i="6" s="1"/>
  <c r="L18" i="6" l="1"/>
  <c r="J19" i="6"/>
  <c r="K19" i="6"/>
  <c r="I20" i="6"/>
  <c r="I21" i="6" l="1"/>
  <c r="L19" i="6"/>
  <c r="J20" i="6"/>
  <c r="I22" i="6" l="1"/>
  <c r="J21" i="6"/>
  <c r="K20" i="6"/>
  <c r="L20" i="6" s="1"/>
  <c r="J22" i="6" l="1"/>
  <c r="K22" i="6" s="1"/>
  <c r="I23" i="6"/>
  <c r="K21" i="6"/>
  <c r="L21" i="6" s="1"/>
  <c r="I24" i="6" l="1"/>
  <c r="L22" i="6"/>
  <c r="J23" i="6"/>
  <c r="J24" i="6" l="1"/>
  <c r="I25" i="6"/>
  <c r="K24" i="6"/>
  <c r="K23" i="6"/>
  <c r="L23" i="6" s="1"/>
  <c r="L24" i="6" l="1"/>
  <c r="J25" i="6"/>
  <c r="K25" i="6"/>
  <c r="I26" i="6"/>
  <c r="I27" i="6" l="1"/>
  <c r="L25" i="6"/>
  <c r="J26" i="6"/>
  <c r="J27" i="6" l="1"/>
  <c r="K27" i="6" s="1"/>
  <c r="I28" i="6"/>
  <c r="K26" i="6"/>
  <c r="L26" i="6" s="1"/>
  <c r="I29" i="6" l="1"/>
  <c r="L27" i="6"/>
  <c r="J28" i="6"/>
  <c r="J29" i="6" l="1"/>
  <c r="K29" i="6" s="1"/>
  <c r="K28" i="6"/>
  <c r="L28" i="6" s="1"/>
  <c r="I30" i="6"/>
  <c r="L29" i="6" l="1"/>
  <c r="J30" i="6"/>
  <c r="K30" i="6"/>
  <c r="I31" i="6"/>
  <c r="I32" i="6" l="1"/>
  <c r="L30" i="6"/>
  <c r="J31" i="6"/>
  <c r="I33" i="6" l="1"/>
  <c r="J32" i="6"/>
  <c r="K31" i="6"/>
  <c r="L31" i="6" s="1"/>
  <c r="J33" i="6" l="1"/>
  <c r="K32" i="6"/>
  <c r="L32" i="6" s="1"/>
  <c r="K33" i="6"/>
  <c r="I34" i="6"/>
  <c r="L33" i="6" l="1"/>
  <c r="J34" i="6"/>
  <c r="K34" i="6" s="1"/>
  <c r="I35" i="6"/>
  <c r="I36" i="6" l="1"/>
  <c r="L34" i="6"/>
  <c r="J35" i="6"/>
  <c r="J36" i="6" l="1"/>
  <c r="K36" i="6" s="1"/>
  <c r="I37" i="6"/>
  <c r="K35" i="6"/>
  <c r="L35" i="6" s="1"/>
  <c r="L36" i="6" l="1"/>
  <c r="J37" i="6"/>
  <c r="K37" i="6"/>
  <c r="I38" i="6"/>
  <c r="I39" i="6" l="1"/>
  <c r="L37" i="6"/>
  <c r="J38" i="6"/>
  <c r="J39" i="6" l="1"/>
  <c r="K39" i="6" s="1"/>
  <c r="I40" i="6"/>
  <c r="K38" i="6"/>
  <c r="L38" i="6" s="1"/>
  <c r="I41" i="6" l="1"/>
  <c r="L39" i="6"/>
  <c r="J40" i="6"/>
  <c r="J41" i="6" l="1"/>
  <c r="K41" i="6" s="1"/>
  <c r="K40" i="6"/>
  <c r="L40" i="6" s="1"/>
  <c r="I42" i="6"/>
  <c r="I43" i="6" l="1"/>
  <c r="L41" i="6"/>
  <c r="J42" i="6"/>
  <c r="J43" i="6" l="1"/>
  <c r="K43" i="6" s="1"/>
  <c r="I44" i="6"/>
  <c r="K42" i="6"/>
  <c r="L42" i="6" s="1"/>
  <c r="I45" i="6" l="1"/>
  <c r="L43" i="6"/>
  <c r="J44" i="6"/>
  <c r="J45" i="6" l="1"/>
  <c r="K45" i="6" s="1"/>
  <c r="K44" i="6"/>
  <c r="L44" i="6" s="1"/>
  <c r="I46" i="6"/>
  <c r="L45" i="6" l="1"/>
  <c r="J46" i="6"/>
  <c r="I47" i="6"/>
  <c r="I48" i="6" l="1"/>
  <c r="J47" i="6"/>
  <c r="K46" i="6"/>
  <c r="L46" i="6" s="1"/>
  <c r="J48" i="6" l="1"/>
  <c r="I49" i="6"/>
  <c r="K48" i="6"/>
  <c r="K47" i="6"/>
  <c r="L47" i="6" s="1"/>
  <c r="L48" i="6" l="1"/>
  <c r="J49" i="6"/>
  <c r="K49" i="6"/>
  <c r="I50" i="6"/>
  <c r="L49" i="6" l="1"/>
  <c r="J50" i="6"/>
  <c r="K50" i="6"/>
  <c r="I51" i="6"/>
  <c r="I52" i="6" l="1"/>
  <c r="L50" i="6"/>
  <c r="J51" i="6"/>
  <c r="J52" i="6" l="1"/>
  <c r="I53" i="6"/>
  <c r="K52" i="6"/>
  <c r="K51" i="6"/>
  <c r="L51" i="6" s="1"/>
  <c r="I54" i="6" l="1"/>
  <c r="L52" i="6"/>
  <c r="J53" i="6"/>
  <c r="J54" i="6" l="1"/>
  <c r="K54" i="6" s="1"/>
  <c r="I55" i="6"/>
  <c r="K53" i="6"/>
  <c r="L53" i="6" s="1"/>
  <c r="I56" i="6" l="1"/>
  <c r="L54" i="6"/>
  <c r="J55" i="6"/>
  <c r="J56" i="6" l="1"/>
  <c r="K56" i="6"/>
  <c r="K55" i="6"/>
  <c r="L55" i="6" s="1"/>
  <c r="L56" i="6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" name="Connection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" name="Connection1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" name="Connection1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" name="Connection1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" name="Connection1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7" name="Connection1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8" name="Connection1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9" name="Connection1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0" name="Connection1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1" name="Connection1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2" name="Connection1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3" name="Connection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4" name="Connection2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5" name="Connection2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6" name="Connection2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7" name="Connection2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8" name="Connection2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9" name="Connection25" type="4" refreshedVersion="4" background="1" saveData="1">
    <webPr xl2000="1" url="http://ichart.yahoo.com/table.csv?s=BP&amp;a=0&amp;b=3&amp;c=2013&amp;d=8&amp;e=2&amp;f=2013&amp;g=&amp;q=q&amp;y=0&amp;z=BP&amp;x=.csv" htmlFormat="all"/>
  </connection>
  <connection id="20" name="Connection26" type="4" refreshedVersion="4" background="1" saveData="1">
    <webPr xl2000="1" url="http://ichart.yahoo.com/table.csv?s=BP&amp;a=0&amp;b=3&amp;c=2013&amp;d=8&amp;e=2&amp;f=2013&amp;g=&amp;q=q&amp;y=0&amp;z=BP&amp;x=.csv" htmlFormat="all"/>
  </connection>
  <connection id="21" name="Connection2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2" name="Connection28" type="4" refreshedVersion="4" background="1" saveData="1">
    <webPr xl2000="1" url="http://ichart.yahoo.com/table.csv?s=BP&amp;a=0&amp;b=3&amp;c=2013&amp;d=8&amp;e=2&amp;f=2013&amp;g=&amp;q=q&amp;y=0&amp;z=BP&amp;x=.csv" htmlFormat="all"/>
  </connection>
  <connection id="23" name="Connection2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4" name="Connection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5" name="Connection3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6" name="Connection31" type="4" refreshedVersion="4" background="1" saveData="1">
    <webPr xl2000="1" url="http://ichart.yahoo.com/table.csv?s=BP&amp;a=0&amp;b=3&amp;c=2013&amp;d=8&amp;e=2&amp;f=2013&amp;g=&amp;q=q&amp;y=0&amp;z=BP&amp;x=.csv" htmlFormat="all"/>
  </connection>
  <connection id="27" name="Connection3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8" name="Connection33" type="4" refreshedVersion="0" background="1">
    <webPr url="http://ichart.yahoo.com/table.csv?s=XOM&amp;a=0&amp;b=3&amp;c=2013&amp;d=8&amp;e=2&amp;f=2013&amp;g=&amp;q=q&amp;y=0&amp;z=XOM&amp;x=.csv" htmlTables="1" htmlFormat="all"/>
  </connection>
  <connection id="29" name="Connection34" type="4" refreshedVersion="0" background="1">
    <webPr url="http://ichart.yahoo.com/table.csv?s=XOM&amp;a=0&amp;b=3&amp;c=2013&amp;d=8&amp;e=2&amp;f=2013&amp;g=&amp;q=q&amp;y=0&amp;z=XOM&amp;x=.csv" htmlTables="1" htmlFormat="all"/>
  </connection>
  <connection id="30" name="Connection35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1" name="Connection36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2" name="Connection37" type="4" refreshedVersion="4" background="1" saveData="1">
    <webPr xl2000="1" url="http://ichart.finance.yahoo.com/table.csv?s=BP&amp;a=0&amp;b=3&amp;c=2013&amp;d=8&amp;e=2&amp;f=2013&amp;g=&amp;q=q&amp;y=0&amp;z=BP&amp;x=.csv" htmlFormat="all"/>
  </connection>
  <connection id="33" name="Connection38" type="4" refreshedVersion="4" background="1" saveData="1">
    <webPr xl2000="1" url="http://ichart.finance.yahoo.com/table.csv?s=BP&amp;a=0&amp;b=3&amp;c=2013&amp;d=8&amp;e=2&amp;f=2013&amp;g=&amp;q=q&amp;y=0&amp;z=BP&amp;x=.csv" htmlFormat="all"/>
  </connection>
  <connection id="34" name="Connection39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5" name="Connection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6" name="Connection40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7" name="Connection41" type="4" refreshedVersion="4" background="1" saveData="1">
    <webPr xl2000="1" url="http://ichart.finance.yahoo.com/table.csv?s=XOM&amp;a=0&amp;b=3&amp;c=2013&amp;d=8&amp;e=2&amp;f=2013&amp;g=&amp;q=q&amp;y=0&amp;z=XOM&amp;x=.csv" htmlFormat="all"/>
  </connection>
  <connection id="38" name="Connection42" type="4" refreshedVersion="5" background="1" saveData="1">
    <webPr xl2000="1" url="http://ichart.finance.yahoo.com/table.csv?s=XOM&amp;a=0&amp;b=3&amp;c=2013&amp;d=8&amp;e=2&amp;f=2013&amp;g=&amp;q=q&amp;y=0&amp;z=XOM&amp;x=.csv" htmlFormat="all"/>
  </connection>
  <connection id="39" name="Connection43" type="4" refreshedVersion="5" background="1" saveData="1">
    <webPr xl2000="1" url="http://ichart.finance.yahoo.com/table.csv?s=XOM&amp;a=0&amp;b=3&amp;c=2013&amp;d=8&amp;e=2&amp;f=2013&amp;g=&amp;q=q&amp;y=0&amp;z=XOM&amp;x=.csv" htmlFormat="all"/>
  </connection>
  <connection id="40" name="Connection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1" name="Connection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2" name="Connection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3" name="Connection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4" name="Connection9" type="4" refreshedVersion="4" background="1" saveData="1">
    <webPr xl2000="1" url="http://ichart.yahoo.com/table.csv?s=XOM&amp;a=0&amp;b=3&amp;c=2013&amp;d=8&amp;e=2&amp;f=2013&amp;g=&amp;q=q&amp;y=0&amp;z=XOM&amp;x=.csv" htmlFormat="all"/>
  </connection>
</connections>
</file>

<file path=xl/sharedStrings.xml><?xml version="1.0" encoding="utf-8"?>
<sst xmlns="http://schemas.openxmlformats.org/spreadsheetml/2006/main" count="17" uniqueCount="13">
  <si>
    <t>Date</t>
  </si>
  <si>
    <t>Open</t>
  </si>
  <si>
    <t>High</t>
  </si>
  <si>
    <t>Low</t>
  </si>
  <si>
    <t>Close</t>
  </si>
  <si>
    <t>Change</t>
  </si>
  <si>
    <t>Gain</t>
  </si>
  <si>
    <t>Loss</t>
  </si>
  <si>
    <t>Av Gain</t>
  </si>
  <si>
    <t>Av Loss</t>
  </si>
  <si>
    <t>RS</t>
  </si>
  <si>
    <t>RSI</t>
  </si>
  <si>
    <t>Yahoo 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</si>
</sst>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FE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alData_41" connectionId="3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7" connectionId="3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43" connectionId="3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4" connectionId="3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5" connectionId="1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3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2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6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1" connectionId="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0" connectionId="3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31" connectionId="2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0" connectionId="4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0" connectionId="2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6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8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3" connectionId="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2" connectionId="1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8" connectionId="2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8" connectionId="1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9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9" connectionId="3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4" connectionId="1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42" connectionId="3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5" connectionId="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7" connectionId="2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" connectionId="4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7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4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32" connectionId="2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3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6" connectionId="4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36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9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8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70"/>
  <sheetViews>
    <sheetView tabSelected="1" workbookViewId="0">
      <selection activeCell="B1" sqref="B1"/>
    </sheetView>
  </sheetViews>
  <sheetFormatPr defaultRowHeight="12.75" x14ac:dyDescent="0.2"/>
  <cols>
    <col min="1" max="5" width="12.7109375" style="1" customWidth="1"/>
  </cols>
  <sheetData>
    <row r="1" spans="1:12" x14ac:dyDescent="0.2">
      <c r="A1" s="1" t="s">
        <v>12</v>
      </c>
      <c r="B1" s="1" t="s">
        <v>12</v>
      </c>
      <c r="C1" s="1" t="s">
        <v>12</v>
      </c>
      <c r="D1" s="1" t="s">
        <v>12</v>
      </c>
      <c r="E1" s="1" t="s">
        <v>12</v>
      </c>
    </row>
    <row r="2" spans="1:12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</row>
    <row r="3" spans="1:12" x14ac:dyDescent="0.2">
      <c r="A3" s="2">
        <v>43103</v>
      </c>
      <c r="B3" s="1">
        <v>88.46</v>
      </c>
      <c r="C3" s="1">
        <v>88.89</v>
      </c>
      <c r="D3" s="1">
        <v>88.16</v>
      </c>
      <c r="E3" s="1">
        <v>88.55</v>
      </c>
    </row>
    <row r="4" spans="1:12" x14ac:dyDescent="0.2">
      <c r="A4" s="2">
        <v>43104</v>
      </c>
      <c r="B4" s="1">
        <v>88.5</v>
      </c>
      <c r="C4" s="1">
        <v>89.09</v>
      </c>
      <c r="D4" s="1">
        <v>88.37</v>
      </c>
      <c r="E4" s="1">
        <v>88.96</v>
      </c>
      <c r="F4">
        <f t="shared" ref="F4:F35" si="0">E4-E3</f>
        <v>0.40999999999999659</v>
      </c>
      <c r="G4">
        <f t="shared" ref="G4:G35" si="1">IF(F4&gt;0,F4,0)</f>
        <v>0.40999999999999659</v>
      </c>
      <c r="H4">
        <f t="shared" ref="H4:H35" si="2">IF(F4&lt;0,ABS(F4),0)</f>
        <v>0</v>
      </c>
    </row>
    <row r="5" spans="1:12" x14ac:dyDescent="0.2">
      <c r="A5" s="2">
        <v>43105</v>
      </c>
      <c r="B5" s="1">
        <v>88.31</v>
      </c>
      <c r="C5" s="1">
        <v>88.49</v>
      </c>
      <c r="D5" s="1">
        <v>87.57</v>
      </c>
      <c r="E5" s="1">
        <v>87.93</v>
      </c>
      <c r="F5">
        <f t="shared" si="0"/>
        <v>-1.0299999999999869</v>
      </c>
      <c r="G5">
        <f t="shared" si="1"/>
        <v>0</v>
      </c>
      <c r="H5">
        <f t="shared" si="2"/>
        <v>1.0299999999999869</v>
      </c>
    </row>
    <row r="6" spans="1:12" x14ac:dyDescent="0.2">
      <c r="A6" s="2">
        <v>43106</v>
      </c>
      <c r="B6" s="1">
        <v>87.82</v>
      </c>
      <c r="C6" s="1">
        <v>88.48</v>
      </c>
      <c r="D6" s="1">
        <v>87.29</v>
      </c>
      <c r="E6" s="1">
        <v>88.48</v>
      </c>
      <c r="F6">
        <f t="shared" si="0"/>
        <v>0.54999999999999716</v>
      </c>
      <c r="G6">
        <f t="shared" si="1"/>
        <v>0.54999999999999716</v>
      </c>
      <c r="H6">
        <f t="shared" si="2"/>
        <v>0</v>
      </c>
    </row>
    <row r="7" spans="1:12" x14ac:dyDescent="0.2">
      <c r="A7" s="2">
        <v>43107</v>
      </c>
      <c r="B7" s="1">
        <v>88.4</v>
      </c>
      <c r="C7" s="1">
        <v>88.54</v>
      </c>
      <c r="D7" s="1">
        <v>87.75</v>
      </c>
      <c r="E7" s="1">
        <v>88.14</v>
      </c>
      <c r="F7">
        <f t="shared" si="0"/>
        <v>-0.34000000000000341</v>
      </c>
      <c r="G7">
        <f t="shared" si="1"/>
        <v>0</v>
      </c>
      <c r="H7">
        <f t="shared" si="2"/>
        <v>0.34000000000000341</v>
      </c>
    </row>
    <row r="8" spans="1:12" x14ac:dyDescent="0.2">
      <c r="A8" s="2">
        <v>43108</v>
      </c>
      <c r="B8" s="1">
        <v>88.75</v>
      </c>
      <c r="C8" s="1">
        <v>89.48</v>
      </c>
      <c r="D8" s="1">
        <v>88.37</v>
      </c>
      <c r="E8" s="1">
        <v>89.1</v>
      </c>
      <c r="F8">
        <f t="shared" si="0"/>
        <v>0.95999999999999375</v>
      </c>
      <c r="G8">
        <f t="shared" si="1"/>
        <v>0.95999999999999375</v>
      </c>
      <c r="H8">
        <f t="shared" si="2"/>
        <v>0</v>
      </c>
    </row>
    <row r="9" spans="1:12" x14ac:dyDescent="0.2">
      <c r="A9" s="2">
        <v>43109</v>
      </c>
      <c r="B9" s="1">
        <v>88.97</v>
      </c>
      <c r="C9" s="1">
        <v>89.71</v>
      </c>
      <c r="D9" s="1">
        <v>88.86</v>
      </c>
      <c r="E9" s="1">
        <v>89.61</v>
      </c>
      <c r="F9">
        <f t="shared" si="0"/>
        <v>0.51000000000000512</v>
      </c>
      <c r="G9">
        <f t="shared" si="1"/>
        <v>0.51000000000000512</v>
      </c>
      <c r="H9">
        <f t="shared" si="2"/>
        <v>0</v>
      </c>
    </row>
    <row r="10" spans="1:12" x14ac:dyDescent="0.2">
      <c r="A10" s="2">
        <v>43110</v>
      </c>
      <c r="B10" s="1">
        <v>89.46</v>
      </c>
      <c r="C10" s="1">
        <v>89.75</v>
      </c>
      <c r="D10" s="1">
        <v>89.32</v>
      </c>
      <c r="E10" s="1">
        <v>89.58</v>
      </c>
      <c r="F10">
        <f t="shared" si="0"/>
        <v>-3.0000000000001137E-2</v>
      </c>
      <c r="G10">
        <f t="shared" si="1"/>
        <v>0</v>
      </c>
      <c r="H10">
        <f t="shared" si="2"/>
        <v>3.0000000000001137E-2</v>
      </c>
    </row>
    <row r="11" spans="1:12" x14ac:dyDescent="0.2">
      <c r="A11" s="2">
        <v>43111</v>
      </c>
      <c r="B11" s="1">
        <v>89.18</v>
      </c>
      <c r="C11" s="1">
        <v>89.61</v>
      </c>
      <c r="D11" s="1">
        <v>89</v>
      </c>
      <c r="E11" s="1">
        <v>89.53</v>
      </c>
      <c r="F11">
        <f t="shared" si="0"/>
        <v>-4.9999999999997158E-2</v>
      </c>
      <c r="G11">
        <f t="shared" si="1"/>
        <v>0</v>
      </c>
      <c r="H11">
        <f t="shared" si="2"/>
        <v>4.9999999999997158E-2</v>
      </c>
    </row>
    <row r="12" spans="1:12" x14ac:dyDescent="0.2">
      <c r="A12" s="2">
        <v>43112</v>
      </c>
      <c r="B12" s="1">
        <v>89.16</v>
      </c>
      <c r="C12" s="1">
        <v>89.48</v>
      </c>
      <c r="D12" s="1">
        <v>89.07</v>
      </c>
      <c r="E12" s="1">
        <v>89.47</v>
      </c>
      <c r="F12">
        <f t="shared" si="0"/>
        <v>-6.0000000000002274E-2</v>
      </c>
      <c r="G12">
        <f t="shared" si="1"/>
        <v>0</v>
      </c>
      <c r="H12">
        <f t="shared" si="2"/>
        <v>6.0000000000002274E-2</v>
      </c>
    </row>
    <row r="13" spans="1:12" x14ac:dyDescent="0.2">
      <c r="A13" s="2">
        <v>43113</v>
      </c>
      <c r="B13" s="1">
        <v>89.76</v>
      </c>
      <c r="C13" s="1">
        <v>90.94</v>
      </c>
      <c r="D13" s="1">
        <v>89.6</v>
      </c>
      <c r="E13" s="1">
        <v>90.2</v>
      </c>
      <c r="F13">
        <f t="shared" si="0"/>
        <v>0.73000000000000398</v>
      </c>
      <c r="G13">
        <f t="shared" si="1"/>
        <v>0.73000000000000398</v>
      </c>
      <c r="H13">
        <f t="shared" si="2"/>
        <v>0</v>
      </c>
    </row>
    <row r="14" spans="1:12" x14ac:dyDescent="0.2">
      <c r="A14" s="2">
        <v>43114</v>
      </c>
      <c r="B14" s="1">
        <v>90.09</v>
      </c>
      <c r="C14" s="1">
        <v>90.83</v>
      </c>
      <c r="D14" s="1">
        <v>89.83</v>
      </c>
      <c r="E14" s="1">
        <v>90.8</v>
      </c>
      <c r="F14">
        <f t="shared" si="0"/>
        <v>0.59999999999999432</v>
      </c>
      <c r="G14">
        <f t="shared" si="1"/>
        <v>0.59999999999999432</v>
      </c>
      <c r="H14">
        <f t="shared" si="2"/>
        <v>0</v>
      </c>
    </row>
    <row r="15" spans="1:12" x14ac:dyDescent="0.2">
      <c r="A15" s="2">
        <v>43115</v>
      </c>
      <c r="B15" s="1">
        <v>90.27</v>
      </c>
      <c r="C15" s="1">
        <v>90.94</v>
      </c>
      <c r="D15" s="1">
        <v>90.21</v>
      </c>
      <c r="E15" s="1">
        <v>90.92</v>
      </c>
      <c r="F15">
        <f t="shared" si="0"/>
        <v>0.12000000000000455</v>
      </c>
      <c r="G15">
        <f t="shared" si="1"/>
        <v>0.12000000000000455</v>
      </c>
      <c r="H15">
        <f t="shared" si="2"/>
        <v>0</v>
      </c>
    </row>
    <row r="16" spans="1:12" x14ac:dyDescent="0.2">
      <c r="A16" s="2">
        <v>43116</v>
      </c>
      <c r="B16" s="1">
        <v>90.5</v>
      </c>
      <c r="C16" s="1">
        <v>90.88</v>
      </c>
      <c r="D16" s="1">
        <v>90.42</v>
      </c>
      <c r="E16" s="1">
        <v>90.7</v>
      </c>
      <c r="F16">
        <f t="shared" si="0"/>
        <v>-0.21999999999999886</v>
      </c>
      <c r="G16">
        <f t="shared" si="1"/>
        <v>0</v>
      </c>
      <c r="H16">
        <f t="shared" si="2"/>
        <v>0.21999999999999886</v>
      </c>
    </row>
    <row r="17" spans="1:12" x14ac:dyDescent="0.2">
      <c r="A17" s="2">
        <v>43117</v>
      </c>
      <c r="B17" s="1">
        <v>90.88</v>
      </c>
      <c r="C17" s="1">
        <v>91.72</v>
      </c>
      <c r="D17" s="1">
        <v>90.75</v>
      </c>
      <c r="E17" s="1">
        <v>91.35</v>
      </c>
      <c r="F17">
        <f t="shared" si="0"/>
        <v>0.64999999999999147</v>
      </c>
      <c r="G17">
        <f t="shared" si="1"/>
        <v>0.64999999999999147</v>
      </c>
      <c r="H17">
        <f t="shared" si="2"/>
        <v>0</v>
      </c>
      <c r="I17">
        <f>AVERAGE(G4:G17)</f>
        <v>0.32357142857142762</v>
      </c>
      <c r="J17">
        <f>AVERAGE(H4:H17)</f>
        <v>0.12357142857142785</v>
      </c>
      <c r="K17">
        <f t="shared" ref="K17:K48" si="3">I17/J17</f>
        <v>2.6184971098265972</v>
      </c>
      <c r="L17">
        <f t="shared" ref="L17:L48" si="4">IF(J17=0,100,100-(100/(1+K17)))</f>
        <v>72.36421725239623</v>
      </c>
    </row>
    <row r="18" spans="1:12" x14ac:dyDescent="0.2">
      <c r="A18" s="2">
        <v>43118</v>
      </c>
      <c r="B18" s="1">
        <v>91.57</v>
      </c>
      <c r="C18" s="1">
        <v>91.8</v>
      </c>
      <c r="D18" s="1">
        <v>91.13</v>
      </c>
      <c r="E18" s="1">
        <v>91.73</v>
      </c>
      <c r="F18">
        <f t="shared" si="0"/>
        <v>0.38000000000000966</v>
      </c>
      <c r="G18">
        <f t="shared" si="1"/>
        <v>0.38000000000000966</v>
      </c>
      <c r="H18">
        <f t="shared" si="2"/>
        <v>0</v>
      </c>
      <c r="I18">
        <f t="shared" ref="I18:I49" si="5">(I17*13+G18 )/14</f>
        <v>0.32760204081632638</v>
      </c>
      <c r="J18">
        <f t="shared" ref="J18:J49" si="6">(J17*13+H18 )/14</f>
        <v>0.114744897959183</v>
      </c>
      <c r="K18">
        <f t="shared" si="3"/>
        <v>2.8550466874166451</v>
      </c>
      <c r="L18">
        <f t="shared" si="4"/>
        <v>74.05997693194935</v>
      </c>
    </row>
    <row r="19" spans="1:12" x14ac:dyDescent="0.2">
      <c r="A19" s="2">
        <v>43119</v>
      </c>
      <c r="B19" s="1">
        <v>91.67</v>
      </c>
      <c r="C19" s="1">
        <v>91.67</v>
      </c>
      <c r="D19" s="1">
        <v>90.77</v>
      </c>
      <c r="E19" s="1">
        <v>91.11</v>
      </c>
      <c r="F19">
        <f t="shared" si="0"/>
        <v>-0.62000000000000455</v>
      </c>
      <c r="G19">
        <f t="shared" si="1"/>
        <v>0</v>
      </c>
      <c r="H19">
        <f t="shared" si="2"/>
        <v>0.62000000000000455</v>
      </c>
      <c r="I19">
        <f t="shared" si="5"/>
        <v>0.30420189504373163</v>
      </c>
      <c r="J19">
        <f t="shared" si="6"/>
        <v>0.15083454810495597</v>
      </c>
      <c r="K19">
        <f t="shared" si="3"/>
        <v>2.0167919012297983</v>
      </c>
      <c r="L19">
        <f t="shared" si="4"/>
        <v>66.852204834136927</v>
      </c>
    </row>
    <row r="20" spans="1:12" x14ac:dyDescent="0.2">
      <c r="A20" s="2">
        <v>43120</v>
      </c>
      <c r="B20" s="1">
        <v>91.21</v>
      </c>
      <c r="C20" s="1">
        <v>91.93</v>
      </c>
      <c r="D20" s="1">
        <v>91.2</v>
      </c>
      <c r="E20" s="1">
        <v>91.76</v>
      </c>
      <c r="F20">
        <f t="shared" si="0"/>
        <v>0.65000000000000568</v>
      </c>
      <c r="G20">
        <f t="shared" si="1"/>
        <v>0.65000000000000568</v>
      </c>
      <c r="H20">
        <f t="shared" si="2"/>
        <v>0</v>
      </c>
      <c r="I20">
        <f t="shared" si="5"/>
        <v>0.32890175968346547</v>
      </c>
      <c r="J20">
        <f t="shared" si="6"/>
        <v>0.14006065181174482</v>
      </c>
      <c r="K20">
        <f t="shared" si="3"/>
        <v>2.3482809442122368</v>
      </c>
      <c r="L20">
        <f t="shared" si="4"/>
        <v>70.13392792714788</v>
      </c>
    </row>
    <row r="21" spans="1:12" x14ac:dyDescent="0.2">
      <c r="A21" s="2">
        <v>43121</v>
      </c>
      <c r="B21" s="1">
        <v>91.17</v>
      </c>
      <c r="C21" s="1">
        <v>91.72</v>
      </c>
      <c r="D21" s="1">
        <v>90.38</v>
      </c>
      <c r="E21" s="1">
        <v>90.67</v>
      </c>
      <c r="F21">
        <f t="shared" si="0"/>
        <v>-1.0900000000000034</v>
      </c>
      <c r="G21">
        <f t="shared" si="1"/>
        <v>0</v>
      </c>
      <c r="H21">
        <f t="shared" si="2"/>
        <v>1.0900000000000034</v>
      </c>
      <c r="I21">
        <f t="shared" si="5"/>
        <v>0.3054087768489322</v>
      </c>
      <c r="J21">
        <f t="shared" si="6"/>
        <v>0.20791346239662042</v>
      </c>
      <c r="K21">
        <f t="shared" si="3"/>
        <v>1.4689225667663959</v>
      </c>
      <c r="L21">
        <f t="shared" si="4"/>
        <v>59.496502099305495</v>
      </c>
    </row>
    <row r="22" spans="1:12" x14ac:dyDescent="0.2">
      <c r="A22" s="2">
        <v>43122</v>
      </c>
      <c r="B22" s="1">
        <v>90.69</v>
      </c>
      <c r="C22" s="1">
        <v>91.21</v>
      </c>
      <c r="D22" s="1">
        <v>89.74</v>
      </c>
      <c r="E22" s="1">
        <v>89.97</v>
      </c>
      <c r="F22">
        <f t="shared" si="0"/>
        <v>-0.70000000000000284</v>
      </c>
      <c r="G22">
        <f t="shared" si="1"/>
        <v>0</v>
      </c>
      <c r="H22">
        <f t="shared" si="2"/>
        <v>0.70000000000000284</v>
      </c>
      <c r="I22">
        <f t="shared" si="5"/>
        <v>0.28359386421686561</v>
      </c>
      <c r="J22">
        <f t="shared" si="6"/>
        <v>0.24306250079686204</v>
      </c>
      <c r="K22">
        <f t="shared" si="3"/>
        <v>1.1667528445857529</v>
      </c>
      <c r="L22">
        <f t="shared" si="4"/>
        <v>53.847989515796236</v>
      </c>
    </row>
    <row r="23" spans="1:12" x14ac:dyDescent="0.2">
      <c r="A23" s="2">
        <v>43123</v>
      </c>
      <c r="B23" s="1">
        <v>90.44</v>
      </c>
      <c r="C23" s="1">
        <v>90.5</v>
      </c>
      <c r="D23" s="1">
        <v>89.36</v>
      </c>
      <c r="E23" s="1">
        <v>90.04</v>
      </c>
      <c r="F23">
        <f t="shared" si="0"/>
        <v>7.000000000000739E-2</v>
      </c>
      <c r="G23">
        <f t="shared" si="1"/>
        <v>7.000000000000739E-2</v>
      </c>
      <c r="H23">
        <f t="shared" si="2"/>
        <v>0</v>
      </c>
      <c r="I23">
        <f t="shared" si="5"/>
        <v>0.2683371596299472</v>
      </c>
      <c r="J23">
        <f t="shared" si="6"/>
        <v>0.22570089359708617</v>
      </c>
      <c r="K23">
        <f t="shared" si="3"/>
        <v>1.1889060577180253</v>
      </c>
      <c r="L23">
        <f t="shared" si="4"/>
        <v>54.315079147685381</v>
      </c>
    </row>
    <row r="24" spans="1:12" x14ac:dyDescent="0.2">
      <c r="A24" s="2">
        <v>43124</v>
      </c>
      <c r="B24" s="1">
        <v>89.41</v>
      </c>
      <c r="C24" s="1">
        <v>89.62</v>
      </c>
      <c r="D24" s="1">
        <v>88.84</v>
      </c>
      <c r="E24" s="1">
        <v>89.15</v>
      </c>
      <c r="F24">
        <f t="shared" si="0"/>
        <v>-0.89000000000000057</v>
      </c>
      <c r="G24">
        <f t="shared" si="1"/>
        <v>0</v>
      </c>
      <c r="H24">
        <f t="shared" si="2"/>
        <v>0.89000000000000057</v>
      </c>
      <c r="I24">
        <f t="shared" si="5"/>
        <v>0.24917021965637956</v>
      </c>
      <c r="J24">
        <f t="shared" si="6"/>
        <v>0.2731508297687229</v>
      </c>
      <c r="K24">
        <f t="shared" si="3"/>
        <v>0.91220744182747771</v>
      </c>
      <c r="L24">
        <f t="shared" si="4"/>
        <v>47.704418562229321</v>
      </c>
    </row>
    <row r="25" spans="1:12" x14ac:dyDescent="0.2">
      <c r="A25" s="2">
        <v>43125</v>
      </c>
      <c r="B25" s="1">
        <v>89.88</v>
      </c>
      <c r="C25" s="1">
        <v>90.19</v>
      </c>
      <c r="D25" s="1">
        <v>89.42</v>
      </c>
      <c r="E25" s="1">
        <v>89.74</v>
      </c>
      <c r="F25">
        <f t="shared" si="0"/>
        <v>0.5899999999999892</v>
      </c>
      <c r="G25">
        <f t="shared" si="1"/>
        <v>0.5899999999999892</v>
      </c>
      <c r="H25">
        <f t="shared" si="2"/>
        <v>0</v>
      </c>
      <c r="I25">
        <f t="shared" si="5"/>
        <v>0.27351520396663742</v>
      </c>
      <c r="J25">
        <f t="shared" si="6"/>
        <v>0.25364005621381414</v>
      </c>
      <c r="K25">
        <f t="shared" si="3"/>
        <v>1.0783596567888665</v>
      </c>
      <c r="L25">
        <f t="shared" si="4"/>
        <v>51.885132261226019</v>
      </c>
    </row>
    <row r="26" spans="1:12" x14ac:dyDescent="0.2">
      <c r="A26" s="2">
        <v>43126</v>
      </c>
      <c r="B26" s="1">
        <v>89.37</v>
      </c>
      <c r="C26" s="1">
        <v>89.89</v>
      </c>
      <c r="D26" s="1">
        <v>89.16</v>
      </c>
      <c r="E26" s="1">
        <v>89.79</v>
      </c>
      <c r="F26">
        <f t="shared" si="0"/>
        <v>5.0000000000011369E-2</v>
      </c>
      <c r="G26">
        <f t="shared" si="1"/>
        <v>5.0000000000011369E-2</v>
      </c>
      <c r="H26">
        <f t="shared" si="2"/>
        <v>0</v>
      </c>
      <c r="I26">
        <f t="shared" si="5"/>
        <v>0.25754983225473554</v>
      </c>
      <c r="J26">
        <f t="shared" si="6"/>
        <v>0.23552290934139883</v>
      </c>
      <c r="K26">
        <f t="shared" si="3"/>
        <v>1.093523483447667</v>
      </c>
      <c r="L26">
        <f t="shared" si="4"/>
        <v>52.23363827029182</v>
      </c>
    </row>
    <row r="27" spans="1:12" x14ac:dyDescent="0.2">
      <c r="A27" s="2">
        <v>43127</v>
      </c>
      <c r="B27" s="1">
        <v>89.21</v>
      </c>
      <c r="C27" s="1">
        <v>89.22</v>
      </c>
      <c r="D27" s="1">
        <v>87.61</v>
      </c>
      <c r="E27" s="1">
        <v>88.25</v>
      </c>
      <c r="F27">
        <f t="shared" si="0"/>
        <v>-1.5400000000000063</v>
      </c>
      <c r="G27">
        <f t="shared" si="1"/>
        <v>0</v>
      </c>
      <c r="H27">
        <f t="shared" si="2"/>
        <v>1.5400000000000063</v>
      </c>
      <c r="I27">
        <f t="shared" si="5"/>
        <v>0.23915341566511158</v>
      </c>
      <c r="J27">
        <f t="shared" si="6"/>
        <v>0.32869984438844224</v>
      </c>
      <c r="K27">
        <f t="shared" si="3"/>
        <v>0.72757386335264329</v>
      </c>
      <c r="L27">
        <f t="shared" si="4"/>
        <v>42.115354879279408</v>
      </c>
    </row>
    <row r="28" spans="1:12" x14ac:dyDescent="0.2">
      <c r="A28" s="2">
        <v>43128</v>
      </c>
      <c r="B28" s="1">
        <v>88.5</v>
      </c>
      <c r="C28" s="1">
        <v>88.8</v>
      </c>
      <c r="D28" s="1">
        <v>88.11</v>
      </c>
      <c r="E28" s="1">
        <v>88.61</v>
      </c>
      <c r="F28">
        <f t="shared" si="0"/>
        <v>0.35999999999999943</v>
      </c>
      <c r="G28">
        <f t="shared" si="1"/>
        <v>0.35999999999999943</v>
      </c>
      <c r="H28">
        <f t="shared" si="2"/>
        <v>0</v>
      </c>
      <c r="I28">
        <f t="shared" si="5"/>
        <v>0.247785314546175</v>
      </c>
      <c r="J28">
        <f t="shared" si="6"/>
        <v>0.30522128407498211</v>
      </c>
      <c r="K28">
        <f t="shared" si="3"/>
        <v>0.8118218730948753</v>
      </c>
      <c r="L28">
        <f t="shared" si="4"/>
        <v>44.80693633023408</v>
      </c>
    </row>
    <row r="29" spans="1:12" x14ac:dyDescent="0.2">
      <c r="A29" s="2">
        <v>43129</v>
      </c>
      <c r="B29" s="1">
        <v>88.35</v>
      </c>
      <c r="C29" s="1">
        <v>88.51</v>
      </c>
      <c r="D29" s="1">
        <v>87.97</v>
      </c>
      <c r="E29" s="1">
        <v>88.28</v>
      </c>
      <c r="F29">
        <f t="shared" si="0"/>
        <v>-0.32999999999999829</v>
      </c>
      <c r="G29">
        <f t="shared" si="1"/>
        <v>0</v>
      </c>
      <c r="H29">
        <f t="shared" si="2"/>
        <v>0.32999999999999829</v>
      </c>
      <c r="I29">
        <f t="shared" si="5"/>
        <v>0.23008636350716252</v>
      </c>
      <c r="J29">
        <f t="shared" si="6"/>
        <v>0.30699119235534045</v>
      </c>
      <c r="K29">
        <f t="shared" si="3"/>
        <v>0.7494884844801637</v>
      </c>
      <c r="L29">
        <f t="shared" si="4"/>
        <v>42.840435426064772</v>
      </c>
    </row>
    <row r="30" spans="1:12" x14ac:dyDescent="0.2">
      <c r="A30" s="2">
        <v>43130</v>
      </c>
      <c r="B30" s="1">
        <v>88.25</v>
      </c>
      <c r="C30" s="1">
        <v>88.62</v>
      </c>
      <c r="D30" s="1">
        <v>87.92</v>
      </c>
      <c r="E30" s="1">
        <v>88.46</v>
      </c>
      <c r="F30">
        <f t="shared" si="0"/>
        <v>0.17999999999999261</v>
      </c>
      <c r="G30">
        <f t="shared" si="1"/>
        <v>0.17999999999999261</v>
      </c>
      <c r="H30">
        <f t="shared" si="2"/>
        <v>0</v>
      </c>
      <c r="I30">
        <f t="shared" si="5"/>
        <v>0.22650876611379325</v>
      </c>
      <c r="J30">
        <f t="shared" si="6"/>
        <v>0.28506325004424471</v>
      </c>
      <c r="K30">
        <f t="shared" si="3"/>
        <v>0.79459125677770392</v>
      </c>
      <c r="L30">
        <f t="shared" si="4"/>
        <v>44.277004792971084</v>
      </c>
    </row>
    <row r="31" spans="1:12" x14ac:dyDescent="0.2">
      <c r="A31" s="2">
        <v>43131</v>
      </c>
      <c r="B31" s="1">
        <v>88.46</v>
      </c>
      <c r="C31" s="1">
        <v>88.77</v>
      </c>
      <c r="D31" s="1">
        <v>88.24</v>
      </c>
      <c r="E31" s="1">
        <v>88.67</v>
      </c>
      <c r="F31">
        <f t="shared" si="0"/>
        <v>0.21000000000000796</v>
      </c>
      <c r="G31">
        <f t="shared" si="1"/>
        <v>0.21000000000000796</v>
      </c>
      <c r="H31">
        <f t="shared" si="2"/>
        <v>0</v>
      </c>
      <c r="I31">
        <f t="shared" si="5"/>
        <v>0.22532956853423716</v>
      </c>
      <c r="J31">
        <f t="shared" si="6"/>
        <v>0.26470158932679866</v>
      </c>
      <c r="K31">
        <f t="shared" si="3"/>
        <v>0.85125884248487427</v>
      </c>
      <c r="L31">
        <f t="shared" si="4"/>
        <v>45.982702307704415</v>
      </c>
    </row>
    <row r="32" spans="1:12" x14ac:dyDescent="0.2">
      <c r="A32" s="2">
        <v>43132</v>
      </c>
      <c r="B32" s="1">
        <v>88.34</v>
      </c>
      <c r="C32" s="1">
        <v>88.81</v>
      </c>
      <c r="D32" s="1">
        <v>88.06</v>
      </c>
      <c r="E32" s="1">
        <v>88.52</v>
      </c>
      <c r="F32">
        <f t="shared" si="0"/>
        <v>-0.15000000000000568</v>
      </c>
      <c r="G32">
        <f t="shared" si="1"/>
        <v>0</v>
      </c>
      <c r="H32">
        <f t="shared" si="2"/>
        <v>0.15000000000000568</v>
      </c>
      <c r="I32">
        <f t="shared" si="5"/>
        <v>0.20923459935322022</v>
      </c>
      <c r="J32">
        <f t="shared" si="6"/>
        <v>0.25650861866059915</v>
      </c>
      <c r="K32">
        <f t="shared" si="3"/>
        <v>0.81570202375956102</v>
      </c>
      <c r="L32">
        <f t="shared" si="4"/>
        <v>44.924883768680424</v>
      </c>
    </row>
    <row r="33" spans="1:12" x14ac:dyDescent="0.2">
      <c r="A33" s="2">
        <v>43133</v>
      </c>
      <c r="B33" s="1">
        <v>88.57</v>
      </c>
      <c r="C33" s="1">
        <v>88.61</v>
      </c>
      <c r="D33" s="1">
        <v>87.8</v>
      </c>
      <c r="E33" s="1">
        <v>88.36</v>
      </c>
      <c r="F33">
        <f t="shared" si="0"/>
        <v>-0.15999999999999659</v>
      </c>
      <c r="G33">
        <f t="shared" si="1"/>
        <v>0</v>
      </c>
      <c r="H33">
        <f t="shared" si="2"/>
        <v>0.15999999999999659</v>
      </c>
      <c r="I33">
        <f t="shared" si="5"/>
        <v>0.19428927082799022</v>
      </c>
      <c r="J33">
        <f t="shared" si="6"/>
        <v>0.24961514589912756</v>
      </c>
      <c r="K33">
        <f t="shared" si="3"/>
        <v>0.77835529622270927</v>
      </c>
      <c r="L33">
        <f t="shared" si="4"/>
        <v>43.768267110400494</v>
      </c>
    </row>
    <row r="34" spans="1:12" x14ac:dyDescent="0.2">
      <c r="A34" s="2">
        <v>43134</v>
      </c>
      <c r="B34" s="1">
        <v>88.54</v>
      </c>
      <c r="C34" s="1">
        <v>89.41</v>
      </c>
      <c r="D34" s="1">
        <v>88.38</v>
      </c>
      <c r="E34" s="1">
        <v>89.32</v>
      </c>
      <c r="F34">
        <f t="shared" si="0"/>
        <v>0.95999999999999375</v>
      </c>
      <c r="G34">
        <f t="shared" si="1"/>
        <v>0.95999999999999375</v>
      </c>
      <c r="H34">
        <f t="shared" si="2"/>
        <v>0</v>
      </c>
      <c r="I34">
        <f t="shared" si="5"/>
        <v>0.24898289434027618</v>
      </c>
      <c r="J34">
        <f t="shared" si="6"/>
        <v>0.23178549262061846</v>
      </c>
      <c r="K34">
        <f t="shared" si="3"/>
        <v>1.0741953326121496</v>
      </c>
      <c r="L34">
        <f t="shared" si="4"/>
        <v>51.788532917936699</v>
      </c>
    </row>
    <row r="35" spans="1:12" x14ac:dyDescent="0.2">
      <c r="A35" s="2">
        <v>43135</v>
      </c>
      <c r="B35" s="1">
        <v>89.14</v>
      </c>
      <c r="C35" s="1">
        <v>89.82</v>
      </c>
      <c r="D35" s="1">
        <v>88.9</v>
      </c>
      <c r="E35" s="1">
        <v>88.97</v>
      </c>
      <c r="F35">
        <f t="shared" si="0"/>
        <v>-0.34999999999999432</v>
      </c>
      <c r="G35">
        <f t="shared" si="1"/>
        <v>0</v>
      </c>
      <c r="H35">
        <f t="shared" si="2"/>
        <v>0.34999999999999432</v>
      </c>
      <c r="I35">
        <f t="shared" si="5"/>
        <v>0.23119840188739932</v>
      </c>
      <c r="J35">
        <f t="shared" si="6"/>
        <v>0.2402293860048596</v>
      </c>
      <c r="K35">
        <f t="shared" si="3"/>
        <v>0.96240683012328232</v>
      </c>
      <c r="L35">
        <f t="shared" si="4"/>
        <v>49.042166759214851</v>
      </c>
    </row>
    <row r="36" spans="1:12" x14ac:dyDescent="0.2">
      <c r="A36" s="2">
        <v>43136</v>
      </c>
      <c r="B36" s="1">
        <v>88.79</v>
      </c>
      <c r="C36" s="1">
        <v>89.02</v>
      </c>
      <c r="D36" s="1">
        <v>88.36</v>
      </c>
      <c r="E36" s="1">
        <v>88.59</v>
      </c>
      <c r="F36">
        <f t="shared" ref="F36:F67" si="7">E36-E35</f>
        <v>-0.37999999999999545</v>
      </c>
      <c r="G36">
        <f t="shared" ref="G36:G67" si="8">IF(F36&gt;0,F36,0)</f>
        <v>0</v>
      </c>
      <c r="H36">
        <f t="shared" ref="H36:H67" si="9">IF(F36&lt;0,ABS(F36),0)</f>
        <v>0.37999999999999545</v>
      </c>
      <c r="I36">
        <f t="shared" si="5"/>
        <v>0.21468423032401365</v>
      </c>
      <c r="J36">
        <f t="shared" si="6"/>
        <v>0.25021300129022644</v>
      </c>
      <c r="K36">
        <f t="shared" si="3"/>
        <v>0.85800589584470732</v>
      </c>
      <c r="L36">
        <f t="shared" si="4"/>
        <v>46.178857546339003</v>
      </c>
    </row>
    <row r="37" spans="1:12" x14ac:dyDescent="0.2">
      <c r="A37" s="2">
        <v>43137</v>
      </c>
      <c r="B37" s="1">
        <v>89.02</v>
      </c>
      <c r="C37" s="1">
        <v>89.28</v>
      </c>
      <c r="D37" s="1">
        <v>88.4</v>
      </c>
      <c r="E37" s="1">
        <v>89.2</v>
      </c>
      <c r="F37">
        <f t="shared" si="7"/>
        <v>0.60999999999999943</v>
      </c>
      <c r="G37">
        <f t="shared" si="8"/>
        <v>0.60999999999999943</v>
      </c>
      <c r="H37">
        <f t="shared" si="9"/>
        <v>0</v>
      </c>
      <c r="I37">
        <f t="shared" si="5"/>
        <v>0.2429210710151555</v>
      </c>
      <c r="J37">
        <f t="shared" si="6"/>
        <v>0.23234064405521027</v>
      </c>
      <c r="K37">
        <f t="shared" si="3"/>
        <v>1.0455384248544608</v>
      </c>
      <c r="L37">
        <f t="shared" si="4"/>
        <v>51.113115850114148</v>
      </c>
    </row>
    <row r="38" spans="1:12" x14ac:dyDescent="0.2">
      <c r="A38" s="2">
        <v>43138</v>
      </c>
      <c r="B38" s="1">
        <v>89.88</v>
      </c>
      <c r="C38" s="1">
        <v>90.19</v>
      </c>
      <c r="D38" s="1">
        <v>87.7</v>
      </c>
      <c r="E38" s="1">
        <v>87.7</v>
      </c>
      <c r="F38">
        <f t="shared" si="7"/>
        <v>-1.5</v>
      </c>
      <c r="G38">
        <f t="shared" si="8"/>
        <v>0</v>
      </c>
      <c r="H38">
        <f t="shared" si="9"/>
        <v>1.5</v>
      </c>
      <c r="I38">
        <f t="shared" si="5"/>
        <v>0.22556956594264441</v>
      </c>
      <c r="J38">
        <f t="shared" si="6"/>
        <v>0.32288774090840949</v>
      </c>
      <c r="K38">
        <f t="shared" si="3"/>
        <v>0.69860058888587406</v>
      </c>
      <c r="L38">
        <f t="shared" si="4"/>
        <v>41.128008164891305</v>
      </c>
    </row>
    <row r="39" spans="1:12" x14ac:dyDescent="0.2">
      <c r="A39" s="2">
        <v>43139</v>
      </c>
      <c r="B39" s="1">
        <v>88.5</v>
      </c>
      <c r="C39" s="1">
        <v>88.98</v>
      </c>
      <c r="D39" s="1">
        <v>87.76</v>
      </c>
      <c r="E39" s="1">
        <v>88.51</v>
      </c>
      <c r="F39">
        <f t="shared" si="7"/>
        <v>0.81000000000000227</v>
      </c>
      <c r="G39">
        <f t="shared" si="8"/>
        <v>0.81000000000000227</v>
      </c>
      <c r="H39">
        <f t="shared" si="9"/>
        <v>0</v>
      </c>
      <c r="I39">
        <f t="shared" si="5"/>
        <v>0.26731459694674137</v>
      </c>
      <c r="J39">
        <f t="shared" si="6"/>
        <v>0.29982433084352306</v>
      </c>
      <c r="K39">
        <f t="shared" si="3"/>
        <v>0.89157072808160998</v>
      </c>
      <c r="L39">
        <f t="shared" si="4"/>
        <v>47.133882695775355</v>
      </c>
    </row>
    <row r="40" spans="1:12" x14ac:dyDescent="0.2">
      <c r="A40" s="2">
        <v>43140</v>
      </c>
      <c r="B40" s="1">
        <v>88.5</v>
      </c>
      <c r="C40" s="1">
        <v>89.65</v>
      </c>
      <c r="D40" s="1">
        <v>88.31</v>
      </c>
      <c r="E40" s="1">
        <v>89.53</v>
      </c>
      <c r="F40">
        <f t="shared" si="7"/>
        <v>1.019999999999996</v>
      </c>
      <c r="G40">
        <f t="shared" si="8"/>
        <v>1.019999999999996</v>
      </c>
      <c r="H40">
        <f t="shared" si="9"/>
        <v>0</v>
      </c>
      <c r="I40">
        <f t="shared" si="5"/>
        <v>0.32107784002197387</v>
      </c>
      <c r="J40">
        <f t="shared" si="6"/>
        <v>0.27840830721184284</v>
      </c>
      <c r="K40">
        <f t="shared" si="3"/>
        <v>1.1532624268199851</v>
      </c>
      <c r="L40">
        <f t="shared" si="4"/>
        <v>53.558842269084884</v>
      </c>
    </row>
    <row r="41" spans="1:12" x14ac:dyDescent="0.2">
      <c r="A41" s="2">
        <v>43141</v>
      </c>
      <c r="B41" s="1">
        <v>89.67</v>
      </c>
      <c r="C41" s="1">
        <v>89.81</v>
      </c>
      <c r="D41" s="1">
        <v>89.03</v>
      </c>
      <c r="E41" s="1">
        <v>89.55</v>
      </c>
      <c r="F41">
        <f t="shared" si="7"/>
        <v>1.9999999999996021E-2</v>
      </c>
      <c r="G41">
        <f t="shared" si="8"/>
        <v>1.9999999999996021E-2</v>
      </c>
      <c r="H41">
        <f t="shared" si="9"/>
        <v>0</v>
      </c>
      <c r="I41">
        <f t="shared" si="5"/>
        <v>0.29957228002040404</v>
      </c>
      <c r="J41">
        <f t="shared" si="6"/>
        <v>0.25852199955385408</v>
      </c>
      <c r="K41">
        <f t="shared" si="3"/>
        <v>1.1587883450437206</v>
      </c>
      <c r="L41">
        <f t="shared" si="4"/>
        <v>53.677719156865855</v>
      </c>
    </row>
    <row r="42" spans="1:12" x14ac:dyDescent="0.2">
      <c r="A42" s="2">
        <v>43142</v>
      </c>
      <c r="B42" s="1">
        <v>89.07</v>
      </c>
      <c r="C42" s="1">
        <v>89.68</v>
      </c>
      <c r="D42" s="1">
        <v>88.92</v>
      </c>
      <c r="E42" s="1">
        <v>89.43</v>
      </c>
      <c r="F42">
        <f t="shared" si="7"/>
        <v>-0.11999999999999034</v>
      </c>
      <c r="G42">
        <f t="shared" si="8"/>
        <v>0</v>
      </c>
      <c r="H42">
        <f t="shared" si="9"/>
        <v>0.11999999999999034</v>
      </c>
      <c r="I42">
        <f t="shared" si="5"/>
        <v>0.27817426001894663</v>
      </c>
      <c r="J42">
        <f t="shared" si="6"/>
        <v>0.24862757101429239</v>
      </c>
      <c r="K42">
        <f t="shared" si="3"/>
        <v>1.1188391491905607</v>
      </c>
      <c r="L42">
        <f t="shared" si="4"/>
        <v>52.804345701181695</v>
      </c>
    </row>
    <row r="43" spans="1:12" x14ac:dyDescent="0.2">
      <c r="A43" s="2">
        <v>43143</v>
      </c>
      <c r="B43" s="1">
        <v>89.13</v>
      </c>
      <c r="C43" s="1">
        <v>89.25</v>
      </c>
      <c r="D43" s="1">
        <v>88.46</v>
      </c>
      <c r="E43" s="1">
        <v>88.95</v>
      </c>
      <c r="F43">
        <f t="shared" si="7"/>
        <v>-0.48000000000000398</v>
      </c>
      <c r="G43">
        <f t="shared" si="8"/>
        <v>0</v>
      </c>
      <c r="H43">
        <f t="shared" si="9"/>
        <v>0.48000000000000398</v>
      </c>
      <c r="I43">
        <f t="shared" si="5"/>
        <v>0.25830467001759333</v>
      </c>
      <c r="J43">
        <f t="shared" si="6"/>
        <v>0.26515417308470035</v>
      </c>
      <c r="K43">
        <f t="shared" si="3"/>
        <v>0.97416784737942241</v>
      </c>
      <c r="L43">
        <f t="shared" si="4"/>
        <v>49.345745787146008</v>
      </c>
    </row>
    <row r="44" spans="1:12" x14ac:dyDescent="0.2">
      <c r="A44" s="2">
        <v>43144</v>
      </c>
      <c r="B44" s="1">
        <v>89.48</v>
      </c>
      <c r="C44" s="1">
        <v>90.15</v>
      </c>
      <c r="D44" s="1">
        <v>89.29</v>
      </c>
      <c r="E44" s="1">
        <v>89.61</v>
      </c>
      <c r="F44">
        <f t="shared" si="7"/>
        <v>0.65999999999999659</v>
      </c>
      <c r="G44">
        <f t="shared" si="8"/>
        <v>0.65999999999999659</v>
      </c>
      <c r="H44">
        <f t="shared" si="9"/>
        <v>0</v>
      </c>
      <c r="I44">
        <f t="shared" si="5"/>
        <v>0.28699719358776499</v>
      </c>
      <c r="J44">
        <f t="shared" si="6"/>
        <v>0.24621458929293602</v>
      </c>
      <c r="K44">
        <f t="shared" si="3"/>
        <v>1.1656384555112917</v>
      </c>
      <c r="L44">
        <f t="shared" si="4"/>
        <v>53.824240724248355</v>
      </c>
    </row>
    <row r="45" spans="1:12" x14ac:dyDescent="0.2">
      <c r="A45" s="2">
        <v>43145</v>
      </c>
      <c r="B45" s="1">
        <v>89.6</v>
      </c>
      <c r="C45" s="1">
        <v>89.95</v>
      </c>
      <c r="D45" s="1">
        <v>89.05</v>
      </c>
      <c r="E45" s="1">
        <v>89.56</v>
      </c>
      <c r="F45">
        <f t="shared" si="7"/>
        <v>-4.9999999999997158E-2</v>
      </c>
      <c r="G45">
        <f t="shared" si="8"/>
        <v>0</v>
      </c>
      <c r="H45">
        <f t="shared" si="9"/>
        <v>4.9999999999997158E-2</v>
      </c>
      <c r="I45">
        <f t="shared" si="5"/>
        <v>0.26649739404578177</v>
      </c>
      <c r="J45">
        <f t="shared" si="6"/>
        <v>0.23219926148629752</v>
      </c>
      <c r="K45">
        <f t="shared" si="3"/>
        <v>1.1477099123397008</v>
      </c>
      <c r="L45">
        <f t="shared" si="4"/>
        <v>53.43877707811076</v>
      </c>
    </row>
    <row r="46" spans="1:12" x14ac:dyDescent="0.2">
      <c r="A46" s="2">
        <v>43146</v>
      </c>
      <c r="B46" s="1">
        <v>89.63</v>
      </c>
      <c r="C46" s="1">
        <v>89.76</v>
      </c>
      <c r="D46" s="1">
        <v>88.68</v>
      </c>
      <c r="E46" s="1">
        <v>88.71</v>
      </c>
      <c r="F46">
        <f t="shared" si="7"/>
        <v>-0.85000000000000853</v>
      </c>
      <c r="G46">
        <f t="shared" si="8"/>
        <v>0</v>
      </c>
      <c r="H46">
        <f t="shared" si="9"/>
        <v>0.85000000000000853</v>
      </c>
      <c r="I46">
        <f t="shared" si="5"/>
        <v>0.24746186589965452</v>
      </c>
      <c r="J46">
        <f t="shared" si="6"/>
        <v>0.27632788566584832</v>
      </c>
      <c r="K46">
        <f t="shared" si="3"/>
        <v>0.89553707293551887</v>
      </c>
      <c r="L46">
        <f t="shared" si="4"/>
        <v>47.244503192366878</v>
      </c>
    </row>
    <row r="47" spans="1:12" x14ac:dyDescent="0.2">
      <c r="A47" s="2">
        <v>43147</v>
      </c>
      <c r="B47" s="1">
        <v>89.01</v>
      </c>
      <c r="C47" s="1">
        <v>89.23</v>
      </c>
      <c r="D47" s="1">
        <v>88.35</v>
      </c>
      <c r="E47" s="1">
        <v>88.97</v>
      </c>
      <c r="F47">
        <f t="shared" si="7"/>
        <v>0.26000000000000512</v>
      </c>
      <c r="G47">
        <f t="shared" si="8"/>
        <v>0.26000000000000512</v>
      </c>
      <c r="H47">
        <f t="shared" si="9"/>
        <v>0</v>
      </c>
      <c r="I47">
        <f t="shared" si="5"/>
        <v>0.2483574469068224</v>
      </c>
      <c r="J47">
        <f t="shared" si="6"/>
        <v>0.25659017954685914</v>
      </c>
      <c r="K47">
        <f t="shared" si="3"/>
        <v>0.96791485685626855</v>
      </c>
      <c r="L47">
        <f t="shared" si="4"/>
        <v>49.184793411362641</v>
      </c>
    </row>
    <row r="48" spans="1:12" x14ac:dyDescent="0.2">
      <c r="A48" s="2">
        <v>43148</v>
      </c>
      <c r="B48" s="1">
        <v>89.01</v>
      </c>
      <c r="C48" s="1">
        <v>89.55</v>
      </c>
      <c r="D48" s="1">
        <v>88.54</v>
      </c>
      <c r="E48" s="1">
        <v>89.16</v>
      </c>
      <c r="F48">
        <f t="shared" si="7"/>
        <v>0.18999999999999773</v>
      </c>
      <c r="G48">
        <f t="shared" si="8"/>
        <v>0.18999999999999773</v>
      </c>
      <c r="H48">
        <f t="shared" si="9"/>
        <v>0</v>
      </c>
      <c r="I48">
        <f t="shared" si="5"/>
        <v>0.2441890578420492</v>
      </c>
      <c r="J48">
        <f t="shared" si="6"/>
        <v>0.23826230957922637</v>
      </c>
      <c r="K48">
        <f t="shared" si="3"/>
        <v>1.0248748879891643</v>
      </c>
      <c r="L48">
        <f t="shared" si="4"/>
        <v>50.614232714739892</v>
      </c>
    </row>
    <row r="49" spans="1:12" x14ac:dyDescent="0.2">
      <c r="A49" s="2">
        <v>43149</v>
      </c>
      <c r="B49" s="1">
        <v>89.45</v>
      </c>
      <c r="C49" s="1">
        <v>89.91</v>
      </c>
      <c r="D49" s="1">
        <v>89.01</v>
      </c>
      <c r="E49" s="1">
        <v>89.16</v>
      </c>
      <c r="F49">
        <f t="shared" si="7"/>
        <v>0</v>
      </c>
      <c r="G49">
        <f t="shared" si="8"/>
        <v>0</v>
      </c>
      <c r="H49">
        <f t="shared" si="9"/>
        <v>0</v>
      </c>
      <c r="I49">
        <f t="shared" si="5"/>
        <v>0.22674698228190282</v>
      </c>
      <c r="J49">
        <f t="shared" si="6"/>
        <v>0.22124357318071022</v>
      </c>
      <c r="K49">
        <f t="shared" ref="K49:K80" si="10">I49/J49</f>
        <v>1.024874887989164</v>
      </c>
      <c r="L49">
        <f t="shared" ref="L49:L80" si="11">IF(J49=0,100,100-(100/(1+K49)))</f>
        <v>50.614232714739884</v>
      </c>
    </row>
    <row r="50" spans="1:12" x14ac:dyDescent="0.2">
      <c r="A50" s="2">
        <v>43150</v>
      </c>
      <c r="B50" s="1">
        <v>89.02</v>
      </c>
      <c r="C50" s="1">
        <v>89.5</v>
      </c>
      <c r="D50" s="1">
        <v>88.83</v>
      </c>
      <c r="E50" s="1">
        <v>89.26</v>
      </c>
      <c r="F50">
        <f t="shared" si="7"/>
        <v>0.10000000000000853</v>
      </c>
      <c r="G50">
        <f t="shared" si="8"/>
        <v>0.10000000000000853</v>
      </c>
      <c r="H50">
        <f t="shared" si="9"/>
        <v>0</v>
      </c>
      <c r="I50">
        <f t="shared" ref="I50:I81" si="12">(I49*13+G50 )/14</f>
        <v>0.21769362640462467</v>
      </c>
      <c r="J50">
        <f t="shared" ref="J50:J81" si="13">(J49*13+H50 )/14</f>
        <v>0.2054404608106595</v>
      </c>
      <c r="K50">
        <f t="shared" si="10"/>
        <v>1.0596433903312652</v>
      </c>
      <c r="L50">
        <f t="shared" si="11"/>
        <v>51.447905754249831</v>
      </c>
    </row>
    <row r="51" spans="1:12" x14ac:dyDescent="0.2">
      <c r="A51" s="2">
        <v>43151</v>
      </c>
      <c r="B51" s="1">
        <v>89.41</v>
      </c>
      <c r="C51" s="1">
        <v>89.91</v>
      </c>
      <c r="D51" s="1">
        <v>89.41</v>
      </c>
      <c r="E51" s="1">
        <v>89.83</v>
      </c>
      <c r="F51">
        <f t="shared" si="7"/>
        <v>0.56999999999999318</v>
      </c>
      <c r="G51">
        <f t="shared" si="8"/>
        <v>0.56999999999999318</v>
      </c>
      <c r="H51">
        <f t="shared" si="9"/>
        <v>0</v>
      </c>
      <c r="I51">
        <f t="shared" si="12"/>
        <v>0.24285836737572244</v>
      </c>
      <c r="J51">
        <f t="shared" si="13"/>
        <v>0.19076614218132668</v>
      </c>
      <c r="K51">
        <f t="shared" si="10"/>
        <v>1.2730685047081425</v>
      </c>
      <c r="L51">
        <f t="shared" si="11"/>
        <v>56.006605259422301</v>
      </c>
    </row>
    <row r="52" spans="1:12" x14ac:dyDescent="0.2">
      <c r="A52" s="2">
        <v>43152</v>
      </c>
      <c r="B52" s="1">
        <v>89.2</v>
      </c>
      <c r="C52" s="1">
        <v>89.61</v>
      </c>
      <c r="D52" s="1">
        <v>88.79</v>
      </c>
      <c r="E52" s="1">
        <v>89.37</v>
      </c>
      <c r="F52">
        <f t="shared" si="7"/>
        <v>-0.45999999999999375</v>
      </c>
      <c r="G52">
        <f t="shared" si="8"/>
        <v>0</v>
      </c>
      <c r="H52">
        <f t="shared" si="9"/>
        <v>0.45999999999999375</v>
      </c>
      <c r="I52">
        <f t="shared" si="12"/>
        <v>0.22551134113459942</v>
      </c>
      <c r="J52">
        <f t="shared" si="13"/>
        <v>0.20999713202551717</v>
      </c>
      <c r="K52">
        <f t="shared" si="10"/>
        <v>1.0738781951898138</v>
      </c>
      <c r="L52">
        <f t="shared" si="11"/>
        <v>51.781160421117498</v>
      </c>
    </row>
    <row r="53" spans="1:12" x14ac:dyDescent="0.2">
      <c r="A53" s="2">
        <v>43153</v>
      </c>
      <c r="B53" s="1">
        <v>88.74</v>
      </c>
      <c r="C53" s="1">
        <v>89.39</v>
      </c>
      <c r="D53" s="1">
        <v>88.55</v>
      </c>
      <c r="E53" s="1">
        <v>88.77</v>
      </c>
      <c r="F53">
        <f t="shared" si="7"/>
        <v>-0.60000000000000853</v>
      </c>
      <c r="G53">
        <f t="shared" si="8"/>
        <v>0</v>
      </c>
      <c r="H53">
        <f t="shared" si="9"/>
        <v>0.60000000000000853</v>
      </c>
      <c r="I53">
        <f t="shared" si="12"/>
        <v>0.20940338819641374</v>
      </c>
      <c r="J53">
        <f t="shared" si="13"/>
        <v>0.23785447973798085</v>
      </c>
      <c r="K53">
        <f t="shared" si="10"/>
        <v>0.88038446207568311</v>
      </c>
      <c r="L53">
        <f t="shared" si="11"/>
        <v>46.819386132549781</v>
      </c>
    </row>
    <row r="54" spans="1:12" x14ac:dyDescent="0.2">
      <c r="A54" s="2">
        <v>43154</v>
      </c>
      <c r="B54" s="1">
        <v>88.89</v>
      </c>
      <c r="C54" s="1">
        <v>89.09</v>
      </c>
      <c r="D54" s="1">
        <v>88.02</v>
      </c>
      <c r="E54" s="1">
        <v>88.58</v>
      </c>
      <c r="F54">
        <f t="shared" si="7"/>
        <v>-0.18999999999999773</v>
      </c>
      <c r="G54">
        <f t="shared" si="8"/>
        <v>0</v>
      </c>
      <c r="H54">
        <f t="shared" si="9"/>
        <v>0.18999999999999773</v>
      </c>
      <c r="I54">
        <f t="shared" si="12"/>
        <v>0.19444600332524134</v>
      </c>
      <c r="J54">
        <f t="shared" si="13"/>
        <v>0.23443630261383919</v>
      </c>
      <c r="K54">
        <f t="shared" si="10"/>
        <v>0.82941933974078486</v>
      </c>
      <c r="L54">
        <f t="shared" si="11"/>
        <v>45.33784691804491</v>
      </c>
    </row>
    <row r="55" spans="1:12" x14ac:dyDescent="0.2">
      <c r="A55" s="2">
        <v>43155</v>
      </c>
      <c r="B55" s="1">
        <v>88.95</v>
      </c>
      <c r="C55" s="1">
        <v>89.21</v>
      </c>
      <c r="D55" s="1">
        <v>88.3</v>
      </c>
      <c r="E55" s="1">
        <v>88.63</v>
      </c>
      <c r="F55">
        <f t="shared" si="7"/>
        <v>4.9999999999997158E-2</v>
      </c>
      <c r="G55">
        <f t="shared" si="8"/>
        <v>4.9999999999997158E-2</v>
      </c>
      <c r="H55">
        <f t="shared" si="9"/>
        <v>0</v>
      </c>
      <c r="I55">
        <f t="shared" si="12"/>
        <v>0.18412843165915246</v>
      </c>
      <c r="J55">
        <f t="shared" si="13"/>
        <v>0.2176908524271364</v>
      </c>
      <c r="K55">
        <f t="shared" si="10"/>
        <v>0.84582530504253661</v>
      </c>
      <c r="L55">
        <f t="shared" si="11"/>
        <v>45.823692130119795</v>
      </c>
    </row>
    <row r="56" spans="1:12" x14ac:dyDescent="0.2">
      <c r="A56" s="2">
        <v>43156</v>
      </c>
      <c r="B56" s="1">
        <v>88.12</v>
      </c>
      <c r="C56" s="1">
        <v>88.64</v>
      </c>
      <c r="D56" s="1">
        <v>87.9</v>
      </c>
      <c r="E56" s="1">
        <v>88.17</v>
      </c>
      <c r="F56">
        <f t="shared" si="7"/>
        <v>-0.45999999999999375</v>
      </c>
      <c r="G56">
        <f t="shared" si="8"/>
        <v>0</v>
      </c>
      <c r="H56">
        <f t="shared" si="9"/>
        <v>0.45999999999999375</v>
      </c>
      <c r="I56">
        <f t="shared" si="12"/>
        <v>0.17097640082635587</v>
      </c>
      <c r="J56">
        <f t="shared" si="13"/>
        <v>0.23499864868234049</v>
      </c>
      <c r="K56">
        <f t="shared" si="10"/>
        <v>0.72756333615123581</v>
      </c>
      <c r="L56">
        <f t="shared" si="11"/>
        <v>42.115002149336121</v>
      </c>
    </row>
    <row r="57" spans="1:12" x14ac:dyDescent="0.2">
      <c r="A57" s="2"/>
    </row>
    <row r="58" spans="1:12" x14ac:dyDescent="0.2">
      <c r="A58" s="2"/>
    </row>
    <row r="59" spans="1:12" x14ac:dyDescent="0.2">
      <c r="A59" s="2"/>
    </row>
    <row r="60" spans="1:12" x14ac:dyDescent="0.2">
      <c r="A60" s="2"/>
    </row>
    <row r="61" spans="1:12" x14ac:dyDescent="0.2">
      <c r="A61" s="2"/>
    </row>
    <row r="62" spans="1:12" x14ac:dyDescent="0.2">
      <c r="A62" s="2"/>
    </row>
    <row r="63" spans="1:12" x14ac:dyDescent="0.2">
      <c r="A63" s="2"/>
    </row>
    <row r="64" spans="1:12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>
        <v>43270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42</vt:i4>
      </vt:variant>
    </vt:vector>
  </HeadingPairs>
  <TitlesOfParts>
    <vt:vector size="43" baseType="lpstr">
      <vt:lpstr>Sample Data Set</vt:lpstr>
      <vt:lpstr>'Sample Data Set'!ExternalData_1</vt:lpstr>
      <vt:lpstr>'Sample Data Set'!ExternalData_10</vt:lpstr>
      <vt:lpstr>'Sample Data Set'!ExternalData_11</vt:lpstr>
      <vt:lpstr>'Sample Data Set'!ExternalData_12</vt:lpstr>
      <vt:lpstr>'Sample Data Set'!ExternalData_13</vt:lpstr>
      <vt:lpstr>'Sample Data Set'!ExternalData_14</vt:lpstr>
      <vt:lpstr>'Sample Data Set'!ExternalData_15</vt:lpstr>
      <vt:lpstr>'Sample Data Set'!ExternalData_16</vt:lpstr>
      <vt:lpstr>'Sample Data Set'!ExternalData_17</vt:lpstr>
      <vt:lpstr>'Sample Data Set'!ExternalData_18</vt:lpstr>
      <vt:lpstr>'Sample Data Set'!ExternalData_19</vt:lpstr>
      <vt:lpstr>'Sample Data Set'!ExternalData_2</vt:lpstr>
      <vt:lpstr>'Sample Data Set'!ExternalData_20</vt:lpstr>
      <vt:lpstr>'Sample Data Set'!ExternalData_21</vt:lpstr>
      <vt:lpstr>'Sample Data Set'!ExternalData_22</vt:lpstr>
      <vt:lpstr>'Sample Data Set'!ExternalData_23</vt:lpstr>
      <vt:lpstr>'Sample Data Set'!ExternalData_24</vt:lpstr>
      <vt:lpstr>'Sample Data Set'!ExternalData_25</vt:lpstr>
      <vt:lpstr>'Sample Data Set'!ExternalData_26</vt:lpstr>
      <vt:lpstr>'Sample Data Set'!ExternalData_27</vt:lpstr>
      <vt:lpstr>'Sample Data Set'!ExternalData_28</vt:lpstr>
      <vt:lpstr>'Sample Data Set'!ExternalData_29</vt:lpstr>
      <vt:lpstr>'Sample Data Set'!ExternalData_3</vt:lpstr>
      <vt:lpstr>'Sample Data Set'!ExternalData_30</vt:lpstr>
      <vt:lpstr>'Sample Data Set'!ExternalData_31</vt:lpstr>
      <vt:lpstr>'Sample Data Set'!ExternalData_32</vt:lpstr>
      <vt:lpstr>'Sample Data Set'!ExternalData_33</vt:lpstr>
      <vt:lpstr>'Sample Data Set'!ExternalData_36</vt:lpstr>
      <vt:lpstr>'Sample Data Set'!ExternalData_37</vt:lpstr>
      <vt:lpstr>'Sample Data Set'!ExternalData_38</vt:lpstr>
      <vt:lpstr>'Sample Data Set'!ExternalData_39</vt:lpstr>
      <vt:lpstr>'Sample Data Set'!ExternalData_4</vt:lpstr>
      <vt:lpstr>'Sample Data Set'!ExternalData_40</vt:lpstr>
      <vt:lpstr>'Sample Data Set'!ExternalData_41</vt:lpstr>
      <vt:lpstr>'Sample Data Set'!ExternalData_42</vt:lpstr>
      <vt:lpstr>'Sample Data Set'!ExternalData_43</vt:lpstr>
      <vt:lpstr>'Sample Data Set'!ExternalData_44</vt:lpstr>
      <vt:lpstr>'Sample Data Set'!ExternalData_5</vt:lpstr>
      <vt:lpstr>'Sample Data Set'!ExternalData_6</vt:lpstr>
      <vt:lpstr>'Sample Data Set'!ExternalData_7</vt:lpstr>
      <vt:lpstr>'Sample Data Set'!ExternalData_8</vt:lpstr>
      <vt:lpstr>'Sample Data Set'!ExternalData_9</vt:lpstr>
    </vt:vector>
  </TitlesOfParts>
  <Company>http://www.OptionTradingTips.com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DELL</cp:lastModifiedBy>
  <cp:lastPrinted>2013-09-03T01:52:05Z</cp:lastPrinted>
  <dcterms:created xsi:type="dcterms:W3CDTF">2006-03-23T23:14:50Z</dcterms:created>
  <dcterms:modified xsi:type="dcterms:W3CDTF">2020-08-25T18:37:34Z</dcterms:modified>
</cp:coreProperties>
</file>