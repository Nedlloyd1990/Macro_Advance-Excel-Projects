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285" windowWidth="15180" windowHeight="7860"/>
  </bookViews>
  <sheets>
    <sheet name="Sample Data Set" sheetId="6" r:id="rId1"/>
  </sheets>
  <definedNames>
    <definedName name="ATRWindow">#REF!</definedName>
    <definedName name="Days">#REF!</definedName>
    <definedName name="DaysInYear">#REF!</definedName>
    <definedName name="EndDate">#REF!</definedName>
    <definedName name="ExternalData_1" localSheetId="0">'Sample Data Set'!$A$2:$A$170</definedName>
    <definedName name="ExternalData_10" localSheetId="0">'Sample Data Set'!$A$2:$A$170</definedName>
    <definedName name="ExternalData_11" localSheetId="0">'Sample Data Set'!$A$2:$A$170</definedName>
    <definedName name="ExternalData_12" localSheetId="0">'Sample Data Set'!$A$2:$A$170</definedName>
    <definedName name="ExternalData_13" localSheetId="0">'Sample Data Set'!$A$2:$A$170</definedName>
    <definedName name="ExternalData_14" localSheetId="0">'Sample Data Set'!$A$2:$A$170</definedName>
    <definedName name="ExternalData_15" localSheetId="0">'Sample Data Set'!$A$2:$A$170</definedName>
    <definedName name="ExternalData_16" localSheetId="0">'Sample Data Set'!$A$2:$A$170</definedName>
    <definedName name="ExternalData_17" localSheetId="0">'Sample Data Set'!$A$2:$A$170</definedName>
    <definedName name="ExternalData_18" localSheetId="0">'Sample Data Set'!$A$2:$A$170</definedName>
    <definedName name="ExternalData_19" localSheetId="0">'Sample Data Set'!$A$2:$A$170</definedName>
    <definedName name="ExternalData_2" localSheetId="0">'Sample Data Set'!$A$2:$A$170</definedName>
    <definedName name="ExternalData_20" localSheetId="0">'Sample Data Set'!$A$2:$A$170</definedName>
    <definedName name="ExternalData_21" localSheetId="0">'Sample Data Set'!$A$2:$A$170</definedName>
    <definedName name="ExternalData_22" localSheetId="0">'Sample Data Set'!$A$2:$A$170</definedName>
    <definedName name="ExternalData_23" localSheetId="0">'Sample Data Set'!$A$2:$A$170</definedName>
    <definedName name="ExternalData_24" localSheetId="0">'Sample Data Set'!$A$2:$A$170</definedName>
    <definedName name="ExternalData_25" localSheetId="0">'Sample Data Set'!$A$2:$A$170</definedName>
    <definedName name="ExternalData_26" localSheetId="0">'Sample Data Set'!$A$2:$A$170</definedName>
    <definedName name="ExternalData_27" localSheetId="0">'Sample Data Set'!$A$2:$A$170</definedName>
    <definedName name="ExternalData_28" localSheetId="0">'Sample Data Set'!$A$2:$A$170</definedName>
    <definedName name="ExternalData_29" localSheetId="0">'Sample Data Set'!$A$2:$A$170</definedName>
    <definedName name="ExternalData_3" localSheetId="0">'Sample Data Set'!$A$2:$A$170</definedName>
    <definedName name="ExternalData_30" localSheetId="0">'Sample Data Set'!$A$2:$A$170</definedName>
    <definedName name="ExternalData_31" localSheetId="0">'Sample Data Set'!$A$2:$A$170</definedName>
    <definedName name="ExternalData_32" localSheetId="0">'Sample Data Set'!$A$2:$A$170</definedName>
    <definedName name="ExternalData_33" localSheetId="0">'Sample Data Set'!$A$2:$A$170</definedName>
    <definedName name="ExternalData_36" localSheetId="0">'Sample Data Set'!$A$2:$A$170</definedName>
    <definedName name="ExternalData_37" localSheetId="0">'Sample Data Set'!$A$2:$A$170</definedName>
    <definedName name="ExternalData_38" localSheetId="0">'Sample Data Set'!$A$2:$A$170</definedName>
    <definedName name="ExternalData_39" localSheetId="0">'Sample Data Set'!$A$2:$A$170</definedName>
    <definedName name="ExternalData_4" localSheetId="0">'Sample Data Set'!$A$2:$A$170</definedName>
    <definedName name="ExternalData_40" localSheetId="0">'Sample Data Set'!$A$2:$A$170</definedName>
    <definedName name="ExternalData_41" localSheetId="0">'Sample Data Set'!$A$2:$A$170</definedName>
    <definedName name="ExternalData_42" localSheetId="0">'Sample Data Set'!$A$2:$A$170</definedName>
    <definedName name="ExternalData_43" localSheetId="0">'Sample Data Set'!$A$2:$A$170</definedName>
    <definedName name="ExternalData_44" localSheetId="0">'Sample Data Set'!$A$2:$A$170</definedName>
    <definedName name="ExternalData_5" localSheetId="0">'Sample Data Set'!$A$2:$A$170</definedName>
    <definedName name="ExternalData_6" localSheetId="0">'Sample Data Set'!$A$2:$A$170</definedName>
    <definedName name="ExternalData_7" localSheetId="0">'Sample Data Set'!$A$2:$A$170</definedName>
    <definedName name="ExternalData_8" localSheetId="0">'Sample Data Set'!$A$2:$A$170</definedName>
    <definedName name="ExternalData_9" localSheetId="0">'Sample Data Set'!$A$2:$A$170</definedName>
    <definedName name="RSIWindow">#REF!</definedName>
    <definedName name="StartDate">#REF!</definedName>
    <definedName name="StockTicker">#REF!</definedName>
    <definedName name="VolatilityDays">#REF!</definedName>
  </definedNames>
  <calcPr calcId="144525"/>
</workbook>
</file>

<file path=xl/calcChain.xml><?xml version="1.0" encoding="utf-8"?>
<calcChain xmlns="http://schemas.openxmlformats.org/spreadsheetml/2006/main">
  <c r="F4" i="6" l="1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G169" i="6" l="1"/>
  <c r="G168" i="6"/>
  <c r="G166" i="6"/>
  <c r="G164" i="6"/>
  <c r="G162" i="6"/>
  <c r="G160" i="6"/>
  <c r="G158" i="6"/>
  <c r="G156" i="6"/>
  <c r="G154" i="6"/>
  <c r="G152" i="6"/>
  <c r="G150" i="6"/>
  <c r="G148" i="6"/>
  <c r="G146" i="6"/>
  <c r="G144" i="6"/>
  <c r="G142" i="6"/>
  <c r="G140" i="6"/>
  <c r="G138" i="6"/>
  <c r="G136" i="6"/>
  <c r="G134" i="6"/>
  <c r="G132" i="6"/>
  <c r="G130" i="6"/>
  <c r="G128" i="6"/>
  <c r="G126" i="6"/>
  <c r="G124" i="6"/>
  <c r="G122" i="6"/>
  <c r="G120" i="6"/>
  <c r="G118" i="6"/>
  <c r="G116" i="6"/>
  <c r="G114" i="6"/>
  <c r="G112" i="6"/>
  <c r="G110" i="6"/>
  <c r="G108" i="6"/>
  <c r="G106" i="6"/>
  <c r="G104" i="6"/>
  <c r="G102" i="6"/>
  <c r="G100" i="6"/>
  <c r="G98" i="6"/>
  <c r="G96" i="6"/>
  <c r="G94" i="6"/>
  <c r="G92" i="6"/>
  <c r="G90" i="6"/>
  <c r="G88" i="6"/>
  <c r="G86" i="6"/>
  <c r="G84" i="6"/>
  <c r="G82" i="6"/>
  <c r="G80" i="6"/>
  <c r="G78" i="6"/>
  <c r="G76" i="6"/>
  <c r="G74" i="6"/>
  <c r="G72" i="6"/>
  <c r="G70" i="6"/>
  <c r="G68" i="6"/>
  <c r="G66" i="6"/>
  <c r="G64" i="6"/>
  <c r="G62" i="6"/>
  <c r="G60" i="6"/>
  <c r="G58" i="6"/>
  <c r="G56" i="6"/>
  <c r="G54" i="6"/>
  <c r="G52" i="6"/>
  <c r="G50" i="6"/>
  <c r="G48" i="6"/>
  <c r="G46" i="6"/>
  <c r="G44" i="6"/>
  <c r="G42" i="6"/>
  <c r="G40" i="6"/>
  <c r="G38" i="6"/>
  <c r="G36" i="6"/>
  <c r="G34" i="6"/>
  <c r="G32" i="6"/>
  <c r="G30" i="6"/>
  <c r="G28" i="6"/>
  <c r="G26" i="6"/>
  <c r="G24" i="6"/>
  <c r="G22" i="6"/>
  <c r="G20" i="6"/>
  <c r="G18" i="6"/>
  <c r="G167" i="6"/>
  <c r="G165" i="6"/>
  <c r="G163" i="6"/>
  <c r="G161" i="6"/>
  <c r="G159" i="6"/>
  <c r="G157" i="6"/>
  <c r="G155" i="6"/>
  <c r="G153" i="6"/>
  <c r="G151" i="6"/>
  <c r="G149" i="6"/>
  <c r="G147" i="6"/>
  <c r="G145" i="6"/>
  <c r="G143" i="6"/>
  <c r="G141" i="6"/>
  <c r="G139" i="6"/>
  <c r="G137" i="6"/>
  <c r="G135" i="6"/>
  <c r="G133" i="6"/>
  <c r="G131" i="6"/>
  <c r="G129" i="6"/>
  <c r="G127" i="6"/>
  <c r="G125" i="6"/>
  <c r="G123" i="6"/>
  <c r="G121" i="6"/>
  <c r="G119" i="6"/>
  <c r="G117" i="6"/>
  <c r="G115" i="6"/>
  <c r="G113" i="6"/>
  <c r="G111" i="6"/>
  <c r="G109" i="6"/>
  <c r="G107" i="6"/>
  <c r="G105" i="6"/>
  <c r="G103" i="6"/>
  <c r="G101" i="6"/>
  <c r="G99" i="6"/>
  <c r="G97" i="6"/>
  <c r="G95" i="6"/>
  <c r="G93" i="6"/>
  <c r="G91" i="6"/>
  <c r="G89" i="6"/>
  <c r="G87" i="6"/>
  <c r="G85" i="6"/>
  <c r="G83" i="6"/>
  <c r="G81" i="6"/>
  <c r="G79" i="6"/>
  <c r="G77" i="6"/>
  <c r="G75" i="6"/>
  <c r="G73" i="6"/>
  <c r="G71" i="6"/>
  <c r="G69" i="6"/>
  <c r="G67" i="6"/>
  <c r="G65" i="6"/>
  <c r="G63" i="6"/>
  <c r="G61" i="6"/>
  <c r="G59" i="6"/>
  <c r="G57" i="6"/>
  <c r="G55" i="6"/>
  <c r="G53" i="6"/>
  <c r="G51" i="6"/>
  <c r="G49" i="6"/>
  <c r="G47" i="6"/>
  <c r="G45" i="6"/>
  <c r="G43" i="6"/>
  <c r="G41" i="6"/>
  <c r="G39" i="6"/>
  <c r="G37" i="6"/>
  <c r="G35" i="6"/>
  <c r="G33" i="6"/>
  <c r="G31" i="6"/>
  <c r="G29" i="6"/>
  <c r="G27" i="6"/>
  <c r="G25" i="6"/>
  <c r="G23" i="6"/>
  <c r="G21" i="6"/>
  <c r="G19" i="6"/>
  <c r="G17" i="6"/>
</calcChain>
</file>

<file path=xl/connections.xml><?xml version="1.0" encoding="utf-8"?>
<connections xmlns="http://schemas.openxmlformats.org/spreadsheetml/2006/main">
  <connection id="1" name="Connection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2" name="Connection1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3" name="Connection10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4" name="Connection11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5" name="Connection12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6" name="Connection13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7" name="Connection14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8" name="Connection15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9" name="Connection16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0" name="Connection17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1" name="Connection18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2" name="Connection19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3" name="Connection2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4" name="Connection20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5" name="Connection21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6" name="Connection22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7" name="Connection23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8" name="Connection24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9" name="Connection25" type="4" refreshedVersion="4" background="1" saveData="1">
    <webPr xl2000="1" url="http://ichart.yahoo.com/table.csv?s=BP&amp;a=0&amp;b=3&amp;c=2013&amp;d=8&amp;e=2&amp;f=2013&amp;g=&amp;q=q&amp;y=0&amp;z=BP&amp;x=.csv" htmlFormat="all"/>
  </connection>
  <connection id="20" name="Connection26" type="4" refreshedVersion="4" background="1" saveData="1">
    <webPr xl2000="1" url="http://ichart.yahoo.com/table.csv?s=BP&amp;a=0&amp;b=3&amp;c=2013&amp;d=8&amp;e=2&amp;f=2013&amp;g=&amp;q=q&amp;y=0&amp;z=BP&amp;x=.csv" htmlFormat="all"/>
  </connection>
  <connection id="21" name="Connection27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22" name="Connection28" type="4" refreshedVersion="4" background="1" saveData="1">
    <webPr xl2000="1" url="http://ichart.yahoo.com/table.csv?s=BP&amp;a=0&amp;b=3&amp;c=2013&amp;d=8&amp;e=2&amp;f=2013&amp;g=&amp;q=q&amp;y=0&amp;z=BP&amp;x=.csv" htmlFormat="all"/>
  </connection>
  <connection id="23" name="Connection29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24" name="Connection3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25" name="Connection30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26" name="Connection31" type="4" refreshedVersion="4" background="1" saveData="1">
    <webPr xl2000="1" url="http://ichart.yahoo.com/table.csv?s=BP&amp;a=0&amp;b=3&amp;c=2013&amp;d=8&amp;e=2&amp;f=2013&amp;g=&amp;q=q&amp;y=0&amp;z=BP&amp;x=.csv" htmlFormat="all"/>
  </connection>
  <connection id="27" name="Connection32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28" name="Connection33" type="4" refreshedVersion="0" background="1">
    <webPr url="http://ichart.yahoo.com/table.csv?s=XOM&amp;a=0&amp;b=3&amp;c=2013&amp;d=8&amp;e=2&amp;f=2013&amp;g=&amp;q=q&amp;y=0&amp;z=XOM&amp;x=.csv" htmlTables="1" htmlFormat="all"/>
  </connection>
  <connection id="29" name="Connection34" type="4" refreshedVersion="0" background="1">
    <webPr url="http://ichart.yahoo.com/table.csv?s=XOM&amp;a=0&amp;b=3&amp;c=2013&amp;d=8&amp;e=2&amp;f=2013&amp;g=&amp;q=q&amp;y=0&amp;z=XOM&amp;x=.csv" htmlTables="1" htmlFormat="all"/>
  </connection>
  <connection id="30" name="Connection35" type="4" refreshedVersion="4" background="1" saveData="1">
    <webPr xl2000="1" url="http://ichart.finance.yahoo.com/table.csv?s=XOM&amp;a=0&amp;b=3&amp;c=2013&amp;d=8&amp;e=2&amp;f=2013&amp;g=&amp;q=q&amp;y=0&amp;z=XOM&amp;x=.csv" htmlFormat="all"/>
  </connection>
  <connection id="31" name="Connection36" type="4" refreshedVersion="4" background="1" saveData="1">
    <webPr xl2000="1" url="http://ichart.finance.yahoo.com/table.csv?s=XOM&amp;a=0&amp;b=3&amp;c=2013&amp;d=8&amp;e=2&amp;f=2013&amp;g=&amp;q=q&amp;y=0&amp;z=XOM&amp;x=.csv" htmlFormat="all"/>
  </connection>
  <connection id="32" name="Connection37" type="4" refreshedVersion="4" background="1" saveData="1">
    <webPr xl2000="1" url="http://ichart.finance.yahoo.com/table.csv?s=BP&amp;a=0&amp;b=3&amp;c=2013&amp;d=8&amp;e=2&amp;f=2013&amp;g=&amp;q=q&amp;y=0&amp;z=BP&amp;x=.csv" htmlFormat="all"/>
  </connection>
  <connection id="33" name="Connection38" type="4" refreshedVersion="4" background="1" saveData="1">
    <webPr xl2000="1" url="http://ichart.finance.yahoo.com/table.csv?s=BP&amp;a=0&amp;b=3&amp;c=2013&amp;d=8&amp;e=2&amp;f=2013&amp;g=&amp;q=q&amp;y=0&amp;z=BP&amp;x=.csv" htmlFormat="all"/>
  </connection>
  <connection id="34" name="Connection39" type="4" refreshedVersion="4" background="1" saveData="1">
    <webPr xl2000="1" url="http://ichart.finance.yahoo.com/table.csv?s=XOM&amp;a=0&amp;b=3&amp;c=2013&amp;d=8&amp;e=2&amp;f=2013&amp;g=&amp;q=q&amp;y=0&amp;z=XOM&amp;x=.csv" htmlFormat="all"/>
  </connection>
  <connection id="35" name="Connection4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36" name="Connection40" type="4" refreshedVersion="4" background="1" saveData="1">
    <webPr xl2000="1" url="http://ichart.finance.yahoo.com/table.csv?s=XOM&amp;a=0&amp;b=3&amp;c=2013&amp;d=8&amp;e=2&amp;f=2013&amp;g=&amp;q=q&amp;y=0&amp;z=XOM&amp;x=.csv" htmlFormat="all"/>
  </connection>
  <connection id="37" name="Connection41" type="4" refreshedVersion="4" background="1" saveData="1">
    <webPr xl2000="1" url="http://ichart.finance.yahoo.com/table.csv?s=XOM&amp;a=0&amp;b=3&amp;c=2013&amp;d=8&amp;e=2&amp;f=2013&amp;g=&amp;q=q&amp;y=0&amp;z=XOM&amp;x=.csv" htmlFormat="all"/>
  </connection>
  <connection id="38" name="Connection42" type="4" refreshedVersion="5" background="1" saveData="1">
    <webPr xl2000="1" url="http://ichart.finance.yahoo.com/table.csv?s=XOM&amp;a=0&amp;b=3&amp;c=2013&amp;d=8&amp;e=2&amp;f=2013&amp;g=&amp;q=q&amp;y=0&amp;z=XOM&amp;x=.csv" htmlFormat="all"/>
  </connection>
  <connection id="39" name="Connection43" type="4" refreshedVersion="5" background="1" saveData="1">
    <webPr xl2000="1" url="http://ichart.finance.yahoo.com/table.csv?s=XOM&amp;a=0&amp;b=3&amp;c=2013&amp;d=8&amp;e=2&amp;f=2013&amp;g=&amp;q=q&amp;y=0&amp;z=XOM&amp;x=.csv" htmlFormat="all"/>
  </connection>
  <connection id="40" name="Connection5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41" name="Connection6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42" name="Connection7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43" name="Connection8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44" name="Connection9" type="4" refreshedVersion="4" background="1" saveData="1">
    <webPr xl2000="1" url="http://ichart.yahoo.com/table.csv?s=XOM&amp;a=0&amp;b=3&amp;c=2013&amp;d=8&amp;e=2&amp;f=2013&amp;g=&amp;q=q&amp;y=0&amp;z=XOM&amp;x=.csv" htmlFormat="all"/>
  </connection>
</connections>
</file>

<file path=xl/sharedStrings.xml><?xml version="1.0" encoding="utf-8"?>
<sst xmlns="http://schemas.openxmlformats.org/spreadsheetml/2006/main" count="12" uniqueCount="8">
  <si>
    <t>Date</t>
  </si>
  <si>
    <t>Open</t>
  </si>
  <si>
    <t>High</t>
  </si>
  <si>
    <t>Low</t>
  </si>
  <si>
    <t>Close</t>
  </si>
  <si>
    <t>px Change</t>
  </si>
  <si>
    <t>Volatility</t>
  </si>
  <si>
    <t>Yahoo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</si>
</sst>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E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3" connectionId="1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7" connectionId="4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42" connectionId="37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28" connectionId="21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ExternalData_5" connectionId="35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ExternalData_26" connectionId="19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ExternalData_44" connectionId="39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ExternalData_17" connectionId="9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ExternalData_38" connectionId="32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ExternalData_21" connectionId="14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ExternalData_32" connectionId="26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ExternalData_15" connectionId="7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ExternalData_18" connectionId="10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name="ExternalData_10" connectionId="44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name="ExternalData_25" connectionId="18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name="ExternalData_36" connectionId="30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name="ExternalData_20" connectionId="12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name="ExternalData_19" connectionId="11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name="ExternalData_40" connectionId="34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name="ExternalData_13" connectionId="5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name="ExternalData_41" connectionId="36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name="ExternalData_29" connectionId="22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name="ExternalData_27" connectionId="20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name="ExternalData_23" connectionId="16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name="ExternalData_30" connectionId="23" autoFormatId="16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name="ExternalData_37" connectionId="31" autoFormatId="16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name="ExternalData_33" connectionId="27" autoFormatId="16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name="ExternalData_4" connectionId="24" autoFormatId="16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name="ExternalData_39" connectionId="33" autoFormatId="16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name="ExternalData_16" connectionId="8" autoFormatId="16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name="ExternalData_11" connectionId="3" autoFormatId="16" applyNumberFormats="0" applyBorderFormats="0" applyFontFormats="1" applyPatternFormats="1" applyAlignmentFormats="0" applyWidthHeightFormats="0"/>
</file>

<file path=xl/queryTables/queryTable33.xml><?xml version="1.0" encoding="utf-8"?>
<queryTable xmlns="http://schemas.openxmlformats.org/spreadsheetml/2006/main" name="ExternalData_12" connectionId="4" autoFormatId="16" applyNumberFormats="0" applyBorderFormats="0" applyFontFormats="1" applyPatternFormats="1" applyAlignmentFormats="0" applyWidthHeightFormats="0"/>
</file>

<file path=xl/queryTables/queryTable34.xml><?xml version="1.0" encoding="utf-8"?>
<queryTable xmlns="http://schemas.openxmlformats.org/spreadsheetml/2006/main" name="ExternalData_8" connectionId="42" autoFormatId="16" applyNumberFormats="0" applyBorderFormats="0" applyFontFormats="1" applyPatternFormats="1" applyAlignmentFormats="0" applyWidthHeightFormats="0"/>
</file>

<file path=xl/queryTables/queryTable35.xml><?xml version="1.0" encoding="utf-8"?>
<queryTable xmlns="http://schemas.openxmlformats.org/spreadsheetml/2006/main" name="ExternalData_14" connectionId="6" autoFormatId="16" applyNumberFormats="0" applyBorderFormats="0" applyFontFormats="1" applyPatternFormats="1" applyAlignmentFormats="0" applyWidthHeightFormats="0"/>
</file>

<file path=xl/queryTables/queryTable36.xml><?xml version="1.0" encoding="utf-8"?>
<queryTable xmlns="http://schemas.openxmlformats.org/spreadsheetml/2006/main" name="ExternalData_22" connectionId="15" autoFormatId="16" applyNumberFormats="0" applyBorderFormats="0" applyFontFormats="1" applyPatternFormats="1" applyAlignmentFormats="0" applyWidthHeightFormats="0"/>
</file>

<file path=xl/queryTables/queryTable37.xml><?xml version="1.0" encoding="utf-8"?>
<queryTable xmlns="http://schemas.openxmlformats.org/spreadsheetml/2006/main" name="ExternalData_43" connectionId="38" autoFormatId="16" applyNumberFormats="0" applyBorderFormats="0" applyFontFormats="1" applyPatternFormats="1" applyAlignmentFormats="0" applyWidthHeightFormats="0"/>
</file>

<file path=xl/queryTables/queryTable38.xml><?xml version="1.0" encoding="utf-8"?>
<queryTable xmlns="http://schemas.openxmlformats.org/spreadsheetml/2006/main" name="ExternalData_6" connectionId="40" autoFormatId="16" applyNumberFormats="0" applyBorderFormats="0" applyFontFormats="1" applyPatternFormats="1" applyAlignmentFormats="0" applyWidthHeightFormats="0"/>
</file>

<file path=xl/queryTables/queryTable39.xml><?xml version="1.0" encoding="utf-8"?>
<queryTable xmlns="http://schemas.openxmlformats.org/spreadsheetml/2006/main" name="ExternalData_24" connectionId="17" autoFormatId="16" applyNumberFormats="0" applyBorderFormats="0" applyFontFormats="1" applyPatternFormats="1" applyAlignmentFormats="0" applyWidthHeightFormats="0"/>
</file>

<file path=xl/queryTables/queryTable40.xml><?xml version="1.0" encoding="utf-8"?>
<queryTable xmlns="http://schemas.openxmlformats.org/spreadsheetml/2006/main" name="ExternalData_2" connectionId="2" autoFormatId="16" applyNumberFormats="0" applyBorderFormats="0" applyFontFormats="1" applyPatternFormats="1" applyAlignmentFormats="0" applyWidthHeightFormats="0"/>
</file>

<file path=xl/queryTables/queryTable41.xml><?xml version="1.0" encoding="utf-8"?>
<queryTable xmlns="http://schemas.openxmlformats.org/spreadsheetml/2006/main" name="ExternalData_31" connectionId="25" autoFormatId="16" applyNumberFormats="0" applyBorderFormats="0" applyFontFormats="1" applyPatternFormats="1" applyAlignmentFormats="0" applyWidthHeightFormats="0"/>
</file>

<file path=xl/queryTables/queryTable42.xml><?xml version="1.0" encoding="utf-8"?>
<queryTable xmlns="http://schemas.openxmlformats.org/spreadsheetml/2006/main" name="ExternalData_9" connectionId="4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13" Type="http://schemas.openxmlformats.org/officeDocument/2006/relationships/queryTable" Target="../queryTables/queryTable13.xml"/><Relationship Id="rId18" Type="http://schemas.openxmlformats.org/officeDocument/2006/relationships/queryTable" Target="../queryTables/queryTable18.xml"/><Relationship Id="rId26" Type="http://schemas.openxmlformats.org/officeDocument/2006/relationships/queryTable" Target="../queryTables/queryTable26.xml"/><Relationship Id="rId39" Type="http://schemas.openxmlformats.org/officeDocument/2006/relationships/queryTable" Target="../queryTables/queryTable39.xml"/><Relationship Id="rId3" Type="http://schemas.openxmlformats.org/officeDocument/2006/relationships/queryTable" Target="../queryTables/queryTable3.xml"/><Relationship Id="rId21" Type="http://schemas.openxmlformats.org/officeDocument/2006/relationships/queryTable" Target="../queryTables/queryTable21.xml"/><Relationship Id="rId34" Type="http://schemas.openxmlformats.org/officeDocument/2006/relationships/queryTable" Target="../queryTables/queryTable34.xml"/><Relationship Id="rId42" Type="http://schemas.openxmlformats.org/officeDocument/2006/relationships/queryTable" Target="../queryTables/queryTable42.xml"/><Relationship Id="rId7" Type="http://schemas.openxmlformats.org/officeDocument/2006/relationships/queryTable" Target="../queryTables/queryTable7.xml"/><Relationship Id="rId12" Type="http://schemas.openxmlformats.org/officeDocument/2006/relationships/queryTable" Target="../queryTables/queryTable12.xml"/><Relationship Id="rId17" Type="http://schemas.openxmlformats.org/officeDocument/2006/relationships/queryTable" Target="../queryTables/queryTable17.xml"/><Relationship Id="rId25" Type="http://schemas.openxmlformats.org/officeDocument/2006/relationships/queryTable" Target="../queryTables/queryTable25.xml"/><Relationship Id="rId33" Type="http://schemas.openxmlformats.org/officeDocument/2006/relationships/queryTable" Target="../queryTables/queryTable33.xml"/><Relationship Id="rId38" Type="http://schemas.openxmlformats.org/officeDocument/2006/relationships/queryTable" Target="../queryTables/queryTable38.xml"/><Relationship Id="rId2" Type="http://schemas.openxmlformats.org/officeDocument/2006/relationships/queryTable" Target="../queryTables/queryTable2.xml"/><Relationship Id="rId16" Type="http://schemas.openxmlformats.org/officeDocument/2006/relationships/queryTable" Target="../queryTables/queryTable16.xml"/><Relationship Id="rId20" Type="http://schemas.openxmlformats.org/officeDocument/2006/relationships/queryTable" Target="../queryTables/queryTable20.xml"/><Relationship Id="rId29" Type="http://schemas.openxmlformats.org/officeDocument/2006/relationships/queryTable" Target="../queryTables/queryTable29.xml"/><Relationship Id="rId41" Type="http://schemas.openxmlformats.org/officeDocument/2006/relationships/queryTable" Target="../queryTables/queryTable41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11" Type="http://schemas.openxmlformats.org/officeDocument/2006/relationships/queryTable" Target="../queryTables/queryTable11.xml"/><Relationship Id="rId24" Type="http://schemas.openxmlformats.org/officeDocument/2006/relationships/queryTable" Target="../queryTables/queryTable24.xml"/><Relationship Id="rId32" Type="http://schemas.openxmlformats.org/officeDocument/2006/relationships/queryTable" Target="../queryTables/queryTable32.xml"/><Relationship Id="rId37" Type="http://schemas.openxmlformats.org/officeDocument/2006/relationships/queryTable" Target="../queryTables/queryTable37.xml"/><Relationship Id="rId40" Type="http://schemas.openxmlformats.org/officeDocument/2006/relationships/queryTable" Target="../queryTables/queryTable40.xml"/><Relationship Id="rId5" Type="http://schemas.openxmlformats.org/officeDocument/2006/relationships/queryTable" Target="../queryTables/queryTable5.xml"/><Relationship Id="rId15" Type="http://schemas.openxmlformats.org/officeDocument/2006/relationships/queryTable" Target="../queryTables/queryTable15.xml"/><Relationship Id="rId23" Type="http://schemas.openxmlformats.org/officeDocument/2006/relationships/queryTable" Target="../queryTables/queryTable23.xml"/><Relationship Id="rId28" Type="http://schemas.openxmlformats.org/officeDocument/2006/relationships/queryTable" Target="../queryTables/queryTable28.xml"/><Relationship Id="rId36" Type="http://schemas.openxmlformats.org/officeDocument/2006/relationships/queryTable" Target="../queryTables/queryTable36.xml"/><Relationship Id="rId10" Type="http://schemas.openxmlformats.org/officeDocument/2006/relationships/queryTable" Target="../queryTables/queryTable10.xml"/><Relationship Id="rId19" Type="http://schemas.openxmlformats.org/officeDocument/2006/relationships/queryTable" Target="../queryTables/queryTable19.xml"/><Relationship Id="rId31" Type="http://schemas.openxmlformats.org/officeDocument/2006/relationships/queryTable" Target="../queryTables/queryTable31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Relationship Id="rId14" Type="http://schemas.openxmlformats.org/officeDocument/2006/relationships/queryTable" Target="../queryTables/queryTable14.xml"/><Relationship Id="rId22" Type="http://schemas.openxmlformats.org/officeDocument/2006/relationships/queryTable" Target="../queryTables/queryTable22.xml"/><Relationship Id="rId27" Type="http://schemas.openxmlformats.org/officeDocument/2006/relationships/queryTable" Target="../queryTables/queryTable27.xml"/><Relationship Id="rId30" Type="http://schemas.openxmlformats.org/officeDocument/2006/relationships/queryTable" Target="../queryTables/queryTable30.xml"/><Relationship Id="rId35" Type="http://schemas.openxmlformats.org/officeDocument/2006/relationships/queryTable" Target="../queryTables/queryTable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70"/>
  <sheetViews>
    <sheetView tabSelected="1" topLeftCell="A118" workbookViewId="0">
      <selection activeCell="D19" sqref="D19"/>
    </sheetView>
  </sheetViews>
  <sheetFormatPr defaultRowHeight="12.75" x14ac:dyDescent="0.2"/>
  <cols>
    <col min="1" max="5" width="12.7109375" style="2" customWidth="1"/>
    <col min="6" max="6" width="10.140625" customWidth="1"/>
    <col min="7" max="7" width="10.28515625" bestFit="1" customWidth="1"/>
  </cols>
  <sheetData>
    <row r="1" spans="1:7" x14ac:dyDescent="0.2">
      <c r="A1" s="2" t="s">
        <v>7</v>
      </c>
      <c r="B1" s="2" t="s">
        <v>7</v>
      </c>
      <c r="C1" s="2" t="s">
        <v>7</v>
      </c>
      <c r="D1" s="2" t="s">
        <v>7</v>
      </c>
      <c r="E1" s="2" t="s">
        <v>7</v>
      </c>
    </row>
    <row r="2" spans="1:7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t="s">
        <v>5</v>
      </c>
      <c r="G2" t="s">
        <v>6</v>
      </c>
    </row>
    <row r="3" spans="1:7" x14ac:dyDescent="0.2">
      <c r="A3" s="3">
        <v>43103</v>
      </c>
      <c r="B3" s="2">
        <v>88.46</v>
      </c>
      <c r="C3" s="2">
        <v>88.89</v>
      </c>
      <c r="D3" s="2">
        <v>88.16</v>
      </c>
      <c r="E3" s="2">
        <v>88.55</v>
      </c>
    </row>
    <row r="4" spans="1:7" x14ac:dyDescent="0.2">
      <c r="A4" s="3">
        <v>43104</v>
      </c>
      <c r="B4" s="2">
        <v>88.5</v>
      </c>
      <c r="C4" s="2">
        <v>89.09</v>
      </c>
      <c r="D4" s="2">
        <v>88.37</v>
      </c>
      <c r="E4" s="2">
        <v>88.96</v>
      </c>
      <c r="F4" s="1">
        <f t="shared" ref="F4:F35" si="0">LN(E4/E3)</f>
        <v>4.6194662734296097E-3</v>
      </c>
    </row>
    <row r="5" spans="1:7" x14ac:dyDescent="0.2">
      <c r="A5" s="3">
        <v>43105</v>
      </c>
      <c r="B5" s="2">
        <v>88.31</v>
      </c>
      <c r="C5" s="2">
        <v>88.49</v>
      </c>
      <c r="D5" s="2">
        <v>87.57</v>
      </c>
      <c r="E5" s="2">
        <v>87.93</v>
      </c>
      <c r="F5" s="1">
        <f t="shared" si="0"/>
        <v>-1.1645787111361347E-2</v>
      </c>
    </row>
    <row r="6" spans="1:7" x14ac:dyDescent="0.2">
      <c r="A6" s="3">
        <v>43106</v>
      </c>
      <c r="B6" s="2">
        <v>87.82</v>
      </c>
      <c r="C6" s="2">
        <v>88.48</v>
      </c>
      <c r="D6" s="2">
        <v>87.29</v>
      </c>
      <c r="E6" s="2">
        <v>88.48</v>
      </c>
      <c r="F6" s="1">
        <f t="shared" si="0"/>
        <v>6.2354943831139679E-3</v>
      </c>
    </row>
    <row r="7" spans="1:7" x14ac:dyDescent="0.2">
      <c r="A7" s="3">
        <v>43107</v>
      </c>
      <c r="B7" s="2">
        <v>88.4</v>
      </c>
      <c r="C7" s="2">
        <v>88.54</v>
      </c>
      <c r="D7" s="2">
        <v>87.75</v>
      </c>
      <c r="E7" s="2">
        <v>88.14</v>
      </c>
      <c r="F7" s="1">
        <f t="shared" si="0"/>
        <v>-3.850078360183736E-3</v>
      </c>
    </row>
    <row r="8" spans="1:7" x14ac:dyDescent="0.2">
      <c r="A8" s="3">
        <v>43108</v>
      </c>
      <c r="B8" s="2">
        <v>88.75</v>
      </c>
      <c r="C8" s="2">
        <v>89.48</v>
      </c>
      <c r="D8" s="2">
        <v>88.37</v>
      </c>
      <c r="E8" s="2">
        <v>89.1</v>
      </c>
      <c r="F8" s="1">
        <f t="shared" si="0"/>
        <v>1.0832875062922721E-2</v>
      </c>
    </row>
    <row r="9" spans="1:7" x14ac:dyDescent="0.2">
      <c r="A9" s="3">
        <v>43109</v>
      </c>
      <c r="B9" s="2">
        <v>88.97</v>
      </c>
      <c r="C9" s="2">
        <v>89.71</v>
      </c>
      <c r="D9" s="2">
        <v>88.86</v>
      </c>
      <c r="E9" s="2">
        <v>89.61</v>
      </c>
      <c r="F9" s="1">
        <f t="shared" si="0"/>
        <v>5.7075864193645688E-3</v>
      </c>
    </row>
    <row r="10" spans="1:7" x14ac:dyDescent="0.2">
      <c r="A10" s="3">
        <v>43110</v>
      </c>
      <c r="B10" s="2">
        <v>89.46</v>
      </c>
      <c r="C10" s="2">
        <v>89.75</v>
      </c>
      <c r="D10" s="2">
        <v>89.32</v>
      </c>
      <c r="E10" s="2">
        <v>89.58</v>
      </c>
      <c r="F10" s="1">
        <f t="shared" si="0"/>
        <v>-3.34840116974122E-4</v>
      </c>
    </row>
    <row r="11" spans="1:7" x14ac:dyDescent="0.2">
      <c r="A11" s="3">
        <v>43111</v>
      </c>
      <c r="B11" s="2">
        <v>89.18</v>
      </c>
      <c r="C11" s="2">
        <v>89.61</v>
      </c>
      <c r="D11" s="2">
        <v>89</v>
      </c>
      <c r="E11" s="2">
        <v>89.53</v>
      </c>
      <c r="F11" s="1">
        <f t="shared" si="0"/>
        <v>-5.5831613308938511E-4</v>
      </c>
    </row>
    <row r="12" spans="1:7" x14ac:dyDescent="0.2">
      <c r="A12" s="3">
        <v>43112</v>
      </c>
      <c r="B12" s="2">
        <v>89.16</v>
      </c>
      <c r="C12" s="2">
        <v>89.48</v>
      </c>
      <c r="D12" s="2">
        <v>89.07</v>
      </c>
      <c r="E12" s="2">
        <v>89.47</v>
      </c>
      <c r="F12" s="1">
        <f t="shared" si="0"/>
        <v>-6.7039108655999788E-4</v>
      </c>
    </row>
    <row r="13" spans="1:7" x14ac:dyDescent="0.2">
      <c r="A13" s="3">
        <v>43113</v>
      </c>
      <c r="B13" s="2">
        <v>89.76</v>
      </c>
      <c r="C13" s="2">
        <v>90.94</v>
      </c>
      <c r="D13" s="2">
        <v>89.6</v>
      </c>
      <c r="E13" s="2">
        <v>90.2</v>
      </c>
      <c r="F13" s="1">
        <f t="shared" si="0"/>
        <v>8.1260535090733558E-3</v>
      </c>
    </row>
    <row r="14" spans="1:7" x14ac:dyDescent="0.2">
      <c r="A14" s="3">
        <v>43114</v>
      </c>
      <c r="B14" s="2">
        <v>90.09</v>
      </c>
      <c r="C14" s="2">
        <v>90.83</v>
      </c>
      <c r="D14" s="2">
        <v>89.83</v>
      </c>
      <c r="E14" s="2">
        <v>90.8</v>
      </c>
      <c r="F14" s="1">
        <f t="shared" si="0"/>
        <v>6.6298585386695818E-3</v>
      </c>
    </row>
    <row r="15" spans="1:7" x14ac:dyDescent="0.2">
      <c r="A15" s="3">
        <v>43115</v>
      </c>
      <c r="B15" s="2">
        <v>90.27</v>
      </c>
      <c r="C15" s="2">
        <v>90.94</v>
      </c>
      <c r="D15" s="2">
        <v>90.21</v>
      </c>
      <c r="E15" s="2">
        <v>90.92</v>
      </c>
      <c r="F15" s="1">
        <f t="shared" si="0"/>
        <v>1.3207133770948788E-3</v>
      </c>
    </row>
    <row r="16" spans="1:7" x14ac:dyDescent="0.2">
      <c r="A16" s="3">
        <v>43116</v>
      </c>
      <c r="B16" s="2">
        <v>90.5</v>
      </c>
      <c r="C16" s="2">
        <v>90.88</v>
      </c>
      <c r="D16" s="2">
        <v>90.42</v>
      </c>
      <c r="E16" s="2">
        <v>90.7</v>
      </c>
      <c r="F16" s="1">
        <f t="shared" si="0"/>
        <v>-2.422641863251555E-3</v>
      </c>
    </row>
    <row r="17" spans="1:7" x14ac:dyDescent="0.2">
      <c r="A17" s="3">
        <v>43117</v>
      </c>
      <c r="B17" s="2">
        <v>90.88</v>
      </c>
      <c r="C17" s="2">
        <v>91.72</v>
      </c>
      <c r="D17" s="2">
        <v>90.75</v>
      </c>
      <c r="E17" s="2">
        <v>91.35</v>
      </c>
      <c r="F17" s="1">
        <f t="shared" si="0"/>
        <v>7.1409257029247551E-3</v>
      </c>
      <c r="G17" s="1">
        <f>STDEV(F4:F17)*SQRT(252)</f>
        <v>9.4515589174966413E-2</v>
      </c>
    </row>
    <row r="18" spans="1:7" x14ac:dyDescent="0.2">
      <c r="A18" s="3">
        <v>43118</v>
      </c>
      <c r="B18" s="2">
        <v>91.57</v>
      </c>
      <c r="C18" s="2">
        <v>91.8</v>
      </c>
      <c r="D18" s="2">
        <v>91.13</v>
      </c>
      <c r="E18" s="2">
        <v>91.73</v>
      </c>
      <c r="F18" s="1">
        <f t="shared" si="0"/>
        <v>4.1511966975485278E-3</v>
      </c>
      <c r="G18" s="1">
        <f>STDEV(F5:F18)*SQRT(252)</f>
        <v>9.4306142998421008E-2</v>
      </c>
    </row>
    <row r="19" spans="1:7" x14ac:dyDescent="0.2">
      <c r="A19" s="3">
        <v>43119</v>
      </c>
      <c r="B19" s="2">
        <v>91.67</v>
      </c>
      <c r="C19" s="2">
        <v>91.67</v>
      </c>
      <c r="D19" s="2">
        <v>90.77</v>
      </c>
      <c r="E19" s="2">
        <v>91.11</v>
      </c>
      <c r="F19" s="1">
        <f t="shared" si="0"/>
        <v>-6.7819117957971936E-3</v>
      </c>
      <c r="G19" s="1">
        <f>STDEV(F6:F19)*SQRT(252)</f>
        <v>8.1917321554820663E-2</v>
      </c>
    </row>
    <row r="20" spans="1:7" x14ac:dyDescent="0.2">
      <c r="A20" s="3">
        <v>43120</v>
      </c>
      <c r="B20" s="2">
        <v>91.21</v>
      </c>
      <c r="C20" s="2">
        <v>91.93</v>
      </c>
      <c r="D20" s="2">
        <v>91.2</v>
      </c>
      <c r="E20" s="2">
        <v>91.76</v>
      </c>
      <c r="F20" s="1">
        <f t="shared" si="0"/>
        <v>7.1089050953482644E-3</v>
      </c>
      <c r="G20" s="1">
        <f>STDEV(F7:F20)*SQRT(252)</f>
        <v>8.2761069416867755E-2</v>
      </c>
    </row>
    <row r="21" spans="1:7" x14ac:dyDescent="0.2">
      <c r="A21" s="3">
        <v>43121</v>
      </c>
      <c r="B21" s="2">
        <v>91.17</v>
      </c>
      <c r="C21" s="2">
        <v>91.72</v>
      </c>
      <c r="D21" s="2">
        <v>90.38</v>
      </c>
      <c r="E21" s="2">
        <v>90.67</v>
      </c>
      <c r="F21" s="1">
        <f t="shared" si="0"/>
        <v>-1.1949931163150542E-2</v>
      </c>
      <c r="G21" s="1">
        <f t="shared" ref="G21:G84" si="1">STDEV(F8:F21)*SQRT(252)</f>
        <v>0.10027869410859402</v>
      </c>
    </row>
    <row r="22" spans="1:7" x14ac:dyDescent="0.2">
      <c r="A22" s="3">
        <v>43122</v>
      </c>
      <c r="B22" s="2">
        <v>90.69</v>
      </c>
      <c r="C22" s="2">
        <v>91.21</v>
      </c>
      <c r="D22" s="2">
        <v>89.74</v>
      </c>
      <c r="E22" s="2">
        <v>89.97</v>
      </c>
      <c r="F22" s="1">
        <f t="shared" si="0"/>
        <v>-7.75026022893741E-3</v>
      </c>
      <c r="G22" s="1">
        <f t="shared" si="1"/>
        <v>9.9617130021187966E-2</v>
      </c>
    </row>
    <row r="23" spans="1:7" x14ac:dyDescent="0.2">
      <c r="A23" s="3">
        <v>43123</v>
      </c>
      <c r="B23" s="2">
        <v>90.44</v>
      </c>
      <c r="C23" s="2">
        <v>90.5</v>
      </c>
      <c r="D23" s="2">
        <v>89.36</v>
      </c>
      <c r="E23" s="2">
        <v>90.04</v>
      </c>
      <c r="F23" s="1">
        <f t="shared" si="0"/>
        <v>7.7773460950426128E-4</v>
      </c>
      <c r="G23" s="1">
        <f t="shared" si="1"/>
        <v>9.6968128181172106E-2</v>
      </c>
    </row>
    <row r="24" spans="1:7" x14ac:dyDescent="0.2">
      <c r="A24" s="3">
        <v>43124</v>
      </c>
      <c r="B24" s="2">
        <v>89.41</v>
      </c>
      <c r="C24" s="2">
        <v>89.62</v>
      </c>
      <c r="D24" s="2">
        <v>88.84</v>
      </c>
      <c r="E24" s="2">
        <v>89.15</v>
      </c>
      <c r="F24" s="1">
        <f t="shared" si="0"/>
        <v>-9.9336717293820372E-3</v>
      </c>
      <c r="G24" s="1">
        <f t="shared" si="1"/>
        <v>0.1063632872746651</v>
      </c>
    </row>
    <row r="25" spans="1:7" x14ac:dyDescent="0.2">
      <c r="A25" s="3">
        <v>43125</v>
      </c>
      <c r="B25" s="2">
        <v>89.88</v>
      </c>
      <c r="C25" s="2">
        <v>90.19</v>
      </c>
      <c r="D25" s="2">
        <v>89.42</v>
      </c>
      <c r="E25" s="2">
        <v>89.74</v>
      </c>
      <c r="F25" s="1">
        <f t="shared" si="0"/>
        <v>6.5962562386877406E-3</v>
      </c>
      <c r="G25" s="1">
        <f t="shared" si="1"/>
        <v>0.1103403837652646</v>
      </c>
    </row>
    <row r="26" spans="1:7" x14ac:dyDescent="0.2">
      <c r="A26" s="3">
        <v>43126</v>
      </c>
      <c r="B26" s="2">
        <v>89.37</v>
      </c>
      <c r="C26" s="2">
        <v>89.89</v>
      </c>
      <c r="D26" s="2">
        <v>89.16</v>
      </c>
      <c r="E26" s="2">
        <v>89.79</v>
      </c>
      <c r="F26" s="1">
        <f t="shared" si="0"/>
        <v>5.570099848801796E-4</v>
      </c>
      <c r="G26" s="1">
        <f t="shared" si="1"/>
        <v>0.11028260745703201</v>
      </c>
    </row>
    <row r="27" spans="1:7" x14ac:dyDescent="0.2">
      <c r="A27" s="3">
        <v>43127</v>
      </c>
      <c r="B27" s="2">
        <v>89.21</v>
      </c>
      <c r="C27" s="2">
        <v>89.22</v>
      </c>
      <c r="D27" s="2">
        <v>87.61</v>
      </c>
      <c r="E27" s="2">
        <v>88.25</v>
      </c>
      <c r="F27" s="1">
        <f t="shared" si="0"/>
        <v>-1.7299914719311194E-2</v>
      </c>
      <c r="G27" s="1">
        <f t="shared" si="1"/>
        <v>0.12664933568446984</v>
      </c>
    </row>
    <row r="28" spans="1:7" x14ac:dyDescent="0.2">
      <c r="A28" s="3">
        <v>43128</v>
      </c>
      <c r="B28" s="2">
        <v>88.5</v>
      </c>
      <c r="C28" s="2">
        <v>88.8</v>
      </c>
      <c r="D28" s="2">
        <v>88.11</v>
      </c>
      <c r="E28" s="2">
        <v>88.61</v>
      </c>
      <c r="F28" s="1">
        <f t="shared" si="0"/>
        <v>4.0710222458049091E-3</v>
      </c>
      <c r="G28" s="1">
        <f t="shared" si="1"/>
        <v>0.12387627968451578</v>
      </c>
    </row>
    <row r="29" spans="1:7" x14ac:dyDescent="0.2">
      <c r="A29" s="3">
        <v>43129</v>
      </c>
      <c r="B29" s="2">
        <v>88.35</v>
      </c>
      <c r="C29" s="2">
        <v>88.51</v>
      </c>
      <c r="D29" s="2">
        <v>87.97</v>
      </c>
      <c r="E29" s="2">
        <v>88.28</v>
      </c>
      <c r="F29" s="1">
        <f t="shared" si="0"/>
        <v>-3.731136670675414E-3</v>
      </c>
      <c r="G29" s="1">
        <f t="shared" si="1"/>
        <v>0.12330649034925095</v>
      </c>
    </row>
    <row r="30" spans="1:7" x14ac:dyDescent="0.2">
      <c r="A30" s="3">
        <v>43130</v>
      </c>
      <c r="B30" s="2">
        <v>88.25</v>
      </c>
      <c r="C30" s="2">
        <v>88.62</v>
      </c>
      <c r="D30" s="2">
        <v>87.92</v>
      </c>
      <c r="E30" s="2">
        <v>88.46</v>
      </c>
      <c r="F30" s="1">
        <f t="shared" si="0"/>
        <v>2.036891051644897E-3</v>
      </c>
      <c r="G30" s="1">
        <f t="shared" si="1"/>
        <v>0.12452912182815515</v>
      </c>
    </row>
    <row r="31" spans="1:7" x14ac:dyDescent="0.2">
      <c r="A31" s="3">
        <v>43131</v>
      </c>
      <c r="B31" s="2">
        <v>88.46</v>
      </c>
      <c r="C31" s="2">
        <v>88.77</v>
      </c>
      <c r="D31" s="2">
        <v>88.24</v>
      </c>
      <c r="E31" s="2">
        <v>88.67</v>
      </c>
      <c r="F31" s="1">
        <f t="shared" si="0"/>
        <v>2.3711409517350344E-3</v>
      </c>
      <c r="G31" s="1">
        <f t="shared" si="1"/>
        <v>0.11944121696883953</v>
      </c>
    </row>
    <row r="32" spans="1:7" x14ac:dyDescent="0.2">
      <c r="A32" s="3">
        <v>43132</v>
      </c>
      <c r="B32" s="2">
        <v>88.34</v>
      </c>
      <c r="C32" s="2">
        <v>88.81</v>
      </c>
      <c r="D32" s="2">
        <v>88.06</v>
      </c>
      <c r="E32" s="2">
        <v>88.52</v>
      </c>
      <c r="F32" s="1">
        <f t="shared" si="0"/>
        <v>-1.6930982090667839E-3</v>
      </c>
      <c r="G32" s="1">
        <f t="shared" si="1"/>
        <v>0.11601087686931615</v>
      </c>
    </row>
    <row r="33" spans="1:7" x14ac:dyDescent="0.2">
      <c r="A33" s="3">
        <v>43133</v>
      </c>
      <c r="B33" s="2">
        <v>88.57</v>
      </c>
      <c r="C33" s="2">
        <v>88.61</v>
      </c>
      <c r="D33" s="2">
        <v>87.8</v>
      </c>
      <c r="E33" s="2">
        <v>88.36</v>
      </c>
      <c r="F33" s="1">
        <f t="shared" si="0"/>
        <v>-1.8091366309324723E-3</v>
      </c>
      <c r="G33" s="1">
        <f t="shared" si="1"/>
        <v>0.11439700581789324</v>
      </c>
    </row>
    <row r="34" spans="1:7" x14ac:dyDescent="0.2">
      <c r="A34" s="3">
        <v>43134</v>
      </c>
      <c r="B34" s="2">
        <v>88.54</v>
      </c>
      <c r="C34" s="2">
        <v>89.41</v>
      </c>
      <c r="D34" s="2">
        <v>88.38</v>
      </c>
      <c r="E34" s="2">
        <v>89.32</v>
      </c>
      <c r="F34" s="1">
        <f t="shared" si="0"/>
        <v>1.080604842004056E-2</v>
      </c>
      <c r="G34" s="1">
        <f t="shared" si="1"/>
        <v>0.12110101553096336</v>
      </c>
    </row>
    <row r="35" spans="1:7" x14ac:dyDescent="0.2">
      <c r="A35" s="3">
        <v>43135</v>
      </c>
      <c r="B35" s="2">
        <v>89.14</v>
      </c>
      <c r="C35" s="2">
        <v>89.82</v>
      </c>
      <c r="D35" s="2">
        <v>88.9</v>
      </c>
      <c r="E35" s="2">
        <v>88.97</v>
      </c>
      <c r="F35" s="1">
        <f t="shared" si="0"/>
        <v>-3.9261927152810213E-3</v>
      </c>
      <c r="G35" s="1">
        <f t="shared" si="1"/>
        <v>0.11272013529624442</v>
      </c>
    </row>
    <row r="36" spans="1:7" x14ac:dyDescent="0.2">
      <c r="A36" s="3">
        <v>43136</v>
      </c>
      <c r="B36" s="2">
        <v>88.79</v>
      </c>
      <c r="C36" s="2">
        <v>89.02</v>
      </c>
      <c r="D36" s="2">
        <v>88.36</v>
      </c>
      <c r="E36" s="2">
        <v>88.59</v>
      </c>
      <c r="F36" s="1">
        <f t="shared" ref="F36:F67" si="2">LN(E36/E35)</f>
        <v>-4.2802498327349165E-3</v>
      </c>
      <c r="G36" s="1">
        <f t="shared" si="1"/>
        <v>0.10982624521871617</v>
      </c>
    </row>
    <row r="37" spans="1:7" x14ac:dyDescent="0.2">
      <c r="A37" s="3">
        <v>43137</v>
      </c>
      <c r="B37" s="2">
        <v>89.02</v>
      </c>
      <c r="C37" s="2">
        <v>89.28</v>
      </c>
      <c r="D37" s="2">
        <v>88.4</v>
      </c>
      <c r="E37" s="2">
        <v>89.2</v>
      </c>
      <c r="F37" s="1">
        <f t="shared" si="2"/>
        <v>6.8620551620226719E-3</v>
      </c>
      <c r="G37" s="1">
        <f t="shared" si="1"/>
        <v>0.11476950423213091</v>
      </c>
    </row>
    <row r="38" spans="1:7" x14ac:dyDescent="0.2">
      <c r="A38" s="3">
        <v>43138</v>
      </c>
      <c r="B38" s="2">
        <v>89.88</v>
      </c>
      <c r="C38" s="2">
        <v>90.19</v>
      </c>
      <c r="D38" s="2">
        <v>87.7</v>
      </c>
      <c r="E38" s="2">
        <v>87.7</v>
      </c>
      <c r="F38" s="1">
        <f t="shared" si="2"/>
        <v>-1.695914020782633E-2</v>
      </c>
      <c r="G38" s="1">
        <f t="shared" si="1"/>
        <v>0.12877798862715623</v>
      </c>
    </row>
    <row r="39" spans="1:7" x14ac:dyDescent="0.2">
      <c r="A39" s="3">
        <v>43139</v>
      </c>
      <c r="B39" s="2">
        <v>88.5</v>
      </c>
      <c r="C39" s="2">
        <v>88.98</v>
      </c>
      <c r="D39" s="2">
        <v>87.76</v>
      </c>
      <c r="E39" s="2">
        <v>88.51</v>
      </c>
      <c r="F39" s="1">
        <f t="shared" si="2"/>
        <v>9.1936406026482068E-3</v>
      </c>
      <c r="G39" s="1">
        <f t="shared" si="1"/>
        <v>0.13223989340104456</v>
      </c>
    </row>
    <row r="40" spans="1:7" x14ac:dyDescent="0.2">
      <c r="A40" s="3">
        <v>43140</v>
      </c>
      <c r="B40" s="2">
        <v>88.5</v>
      </c>
      <c r="C40" s="2">
        <v>89.65</v>
      </c>
      <c r="D40" s="2">
        <v>88.31</v>
      </c>
      <c r="E40" s="2">
        <v>89.53</v>
      </c>
      <c r="F40" s="1">
        <f t="shared" si="2"/>
        <v>1.1458224665278944E-2</v>
      </c>
      <c r="G40" s="1">
        <f t="shared" si="1"/>
        <v>0.14240253608378553</v>
      </c>
    </row>
    <row r="41" spans="1:7" x14ac:dyDescent="0.2">
      <c r="A41" s="3">
        <v>43141</v>
      </c>
      <c r="B41" s="2">
        <v>89.67</v>
      </c>
      <c r="C41" s="2">
        <v>89.81</v>
      </c>
      <c r="D41" s="2">
        <v>89.03</v>
      </c>
      <c r="E41" s="2">
        <v>89.55</v>
      </c>
      <c r="F41" s="1">
        <f t="shared" si="2"/>
        <v>2.2336386065604214E-4</v>
      </c>
      <c r="G41" s="1">
        <f t="shared" si="1"/>
        <v>0.11913620637350254</v>
      </c>
    </row>
    <row r="42" spans="1:7" x14ac:dyDescent="0.2">
      <c r="A42" s="3">
        <v>43142</v>
      </c>
      <c r="B42" s="2">
        <v>89.07</v>
      </c>
      <c r="C42" s="2">
        <v>89.68</v>
      </c>
      <c r="D42" s="2">
        <v>88.92</v>
      </c>
      <c r="E42" s="2">
        <v>89.43</v>
      </c>
      <c r="F42" s="1">
        <f t="shared" si="2"/>
        <v>-1.3409321486309415E-3</v>
      </c>
      <c r="G42" s="1">
        <f t="shared" si="1"/>
        <v>0.11868290486715877</v>
      </c>
    </row>
    <row r="43" spans="1:7" x14ac:dyDescent="0.2">
      <c r="A43" s="3">
        <v>43143</v>
      </c>
      <c r="B43" s="2">
        <v>89.13</v>
      </c>
      <c r="C43" s="2">
        <v>89.25</v>
      </c>
      <c r="D43" s="2">
        <v>88.46</v>
      </c>
      <c r="E43" s="2">
        <v>88.95</v>
      </c>
      <c r="F43" s="1">
        <f t="shared" si="2"/>
        <v>-5.3817822462457164E-3</v>
      </c>
      <c r="G43" s="1">
        <f t="shared" si="1"/>
        <v>0.12006478429424784</v>
      </c>
    </row>
    <row r="44" spans="1:7" x14ac:dyDescent="0.2">
      <c r="A44" s="3">
        <v>43144</v>
      </c>
      <c r="B44" s="2">
        <v>89.48</v>
      </c>
      <c r="C44" s="2">
        <v>90.15</v>
      </c>
      <c r="D44" s="2">
        <v>89.29</v>
      </c>
      <c r="E44" s="2">
        <v>89.61</v>
      </c>
      <c r="F44" s="1">
        <f t="shared" si="2"/>
        <v>7.3925067842839295E-3</v>
      </c>
      <c r="G44" s="1">
        <f t="shared" si="1"/>
        <v>0.12346105202898611</v>
      </c>
    </row>
    <row r="45" spans="1:7" x14ac:dyDescent="0.2">
      <c r="A45" s="3">
        <v>43145</v>
      </c>
      <c r="B45" s="2">
        <v>89.6</v>
      </c>
      <c r="C45" s="2">
        <v>89.95</v>
      </c>
      <c r="D45" s="2">
        <v>89.05</v>
      </c>
      <c r="E45" s="2">
        <v>89.56</v>
      </c>
      <c r="F45" s="1">
        <f t="shared" si="2"/>
        <v>-5.5812916557396403E-4</v>
      </c>
      <c r="G45" s="1">
        <f t="shared" si="1"/>
        <v>0.12342033314678598</v>
      </c>
    </row>
    <row r="46" spans="1:7" x14ac:dyDescent="0.2">
      <c r="A46" s="3">
        <v>43146</v>
      </c>
      <c r="B46" s="2">
        <v>89.63</v>
      </c>
      <c r="C46" s="2">
        <v>89.76</v>
      </c>
      <c r="D46" s="2">
        <v>88.68</v>
      </c>
      <c r="E46" s="2">
        <v>88.71</v>
      </c>
      <c r="F46" s="1">
        <f t="shared" si="2"/>
        <v>-9.5361691980586204E-3</v>
      </c>
      <c r="G46" s="1">
        <f t="shared" si="1"/>
        <v>0.13065818267817855</v>
      </c>
    </row>
    <row r="47" spans="1:7" x14ac:dyDescent="0.2">
      <c r="A47" s="3">
        <v>43147</v>
      </c>
      <c r="B47" s="2">
        <v>89.01</v>
      </c>
      <c r="C47" s="2">
        <v>89.23</v>
      </c>
      <c r="D47" s="2">
        <v>88.35</v>
      </c>
      <c r="E47" s="2">
        <v>88.97</v>
      </c>
      <c r="F47" s="1">
        <f t="shared" si="2"/>
        <v>2.9266117241805237E-3</v>
      </c>
      <c r="G47" s="1">
        <f t="shared" si="1"/>
        <v>0.13082420957818527</v>
      </c>
    </row>
    <row r="48" spans="1:7" x14ac:dyDescent="0.2">
      <c r="A48" s="3">
        <v>43148</v>
      </c>
      <c r="B48" s="2">
        <v>89.01</v>
      </c>
      <c r="C48" s="2">
        <v>89.55</v>
      </c>
      <c r="D48" s="2">
        <v>88.54</v>
      </c>
      <c r="E48" s="2">
        <v>89.16</v>
      </c>
      <c r="F48" s="1">
        <f t="shared" si="2"/>
        <v>2.1332742609920814E-3</v>
      </c>
      <c r="G48" s="1">
        <f t="shared" si="1"/>
        <v>0.12247743450026999</v>
      </c>
    </row>
    <row r="49" spans="1:7" x14ac:dyDescent="0.2">
      <c r="A49" s="3">
        <v>43149</v>
      </c>
      <c r="B49" s="2">
        <v>89.45</v>
      </c>
      <c r="C49" s="2">
        <v>89.91</v>
      </c>
      <c r="D49" s="2">
        <v>89.01</v>
      </c>
      <c r="E49" s="2">
        <v>89.16</v>
      </c>
      <c r="F49" s="1">
        <f t="shared" si="2"/>
        <v>0</v>
      </c>
      <c r="G49" s="1">
        <f t="shared" si="1"/>
        <v>0.12124379596192088</v>
      </c>
    </row>
    <row r="50" spans="1:7" x14ac:dyDescent="0.2">
      <c r="A50" s="3">
        <v>43150</v>
      </c>
      <c r="B50" s="2">
        <v>89.02</v>
      </c>
      <c r="C50" s="2">
        <v>89.5</v>
      </c>
      <c r="D50" s="2">
        <v>88.83</v>
      </c>
      <c r="E50" s="2">
        <v>89.26</v>
      </c>
      <c r="F50" s="1">
        <f t="shared" si="2"/>
        <v>1.1209506834558161E-3</v>
      </c>
      <c r="G50" s="1">
        <f t="shared" si="1"/>
        <v>0.11956997004819657</v>
      </c>
    </row>
    <row r="51" spans="1:7" x14ac:dyDescent="0.2">
      <c r="A51" s="3">
        <v>43151</v>
      </c>
      <c r="B51" s="2">
        <v>89.41</v>
      </c>
      <c r="C51" s="2">
        <v>89.91</v>
      </c>
      <c r="D51" s="2">
        <v>89.41</v>
      </c>
      <c r="E51" s="2">
        <v>89.83</v>
      </c>
      <c r="F51" s="1">
        <f t="shared" si="2"/>
        <v>6.3655360399912791E-3</v>
      </c>
      <c r="G51" s="1">
        <f t="shared" si="1"/>
        <v>0.119078473128924</v>
      </c>
    </row>
    <row r="52" spans="1:7" x14ac:dyDescent="0.2">
      <c r="A52" s="3">
        <v>43152</v>
      </c>
      <c r="B52" s="2">
        <v>89.2</v>
      </c>
      <c r="C52" s="2">
        <v>89.61</v>
      </c>
      <c r="D52" s="2">
        <v>88.79</v>
      </c>
      <c r="E52" s="2">
        <v>89.37</v>
      </c>
      <c r="F52" s="1">
        <f t="shared" si="2"/>
        <v>-5.1339398478146012E-3</v>
      </c>
      <c r="G52" s="1">
        <f t="shared" si="1"/>
        <v>9.3226954723424432E-2</v>
      </c>
    </row>
    <row r="53" spans="1:7" x14ac:dyDescent="0.2">
      <c r="A53" s="3">
        <v>43153</v>
      </c>
      <c r="B53" s="2">
        <v>88.74</v>
      </c>
      <c r="C53" s="2">
        <v>89.39</v>
      </c>
      <c r="D53" s="2">
        <v>88.55</v>
      </c>
      <c r="E53" s="2">
        <v>88.77</v>
      </c>
      <c r="F53" s="1">
        <f t="shared" si="2"/>
        <v>-6.7363003130727133E-3</v>
      </c>
      <c r="G53" s="1">
        <f t="shared" si="1"/>
        <v>9.1723540484310223E-2</v>
      </c>
    </row>
    <row r="54" spans="1:7" x14ac:dyDescent="0.2">
      <c r="A54" s="3">
        <v>43154</v>
      </c>
      <c r="B54" s="2">
        <v>88.89</v>
      </c>
      <c r="C54" s="2">
        <v>89.09</v>
      </c>
      <c r="D54" s="2">
        <v>88.02</v>
      </c>
      <c r="E54" s="2">
        <v>88.58</v>
      </c>
      <c r="F54" s="1">
        <f t="shared" si="2"/>
        <v>-2.1426565851758381E-3</v>
      </c>
      <c r="G54" s="1">
        <f t="shared" si="1"/>
        <v>7.6233347458517467E-2</v>
      </c>
    </row>
    <row r="55" spans="1:7" x14ac:dyDescent="0.2">
      <c r="A55" s="3">
        <v>43155</v>
      </c>
      <c r="B55" s="2">
        <v>88.95</v>
      </c>
      <c r="C55" s="2">
        <v>89.21</v>
      </c>
      <c r="D55" s="2">
        <v>88.3</v>
      </c>
      <c r="E55" s="2">
        <v>88.63</v>
      </c>
      <c r="F55" s="1">
        <f t="shared" si="2"/>
        <v>5.6430225525447525E-4</v>
      </c>
      <c r="G55" s="1">
        <f t="shared" si="1"/>
        <v>7.6332428962544052E-2</v>
      </c>
    </row>
    <row r="56" spans="1:7" x14ac:dyDescent="0.2">
      <c r="A56" s="3">
        <v>43156</v>
      </c>
      <c r="B56" s="2">
        <v>88.12</v>
      </c>
      <c r="C56" s="2">
        <v>88.64</v>
      </c>
      <c r="D56" s="2">
        <v>87.9</v>
      </c>
      <c r="E56" s="2">
        <v>88.17</v>
      </c>
      <c r="F56" s="1">
        <f t="shared" si="2"/>
        <v>-5.203631651370829E-3</v>
      </c>
      <c r="G56" s="1">
        <f t="shared" si="1"/>
        <v>7.8648303190486823E-2</v>
      </c>
    </row>
    <row r="57" spans="1:7" x14ac:dyDescent="0.2">
      <c r="A57" s="3">
        <v>43157</v>
      </c>
      <c r="B57" s="2">
        <v>88.4</v>
      </c>
      <c r="C57" s="2">
        <v>89.29</v>
      </c>
      <c r="D57" s="2">
        <v>88.32</v>
      </c>
      <c r="E57" s="2">
        <v>89.29</v>
      </c>
      <c r="F57" s="1">
        <f t="shared" si="2"/>
        <v>1.2622730430189386E-2</v>
      </c>
      <c r="G57" s="1">
        <f t="shared" si="1"/>
        <v>9.4717201551138192E-2</v>
      </c>
    </row>
    <row r="58" spans="1:7" x14ac:dyDescent="0.2">
      <c r="A58" s="3">
        <v>43158</v>
      </c>
      <c r="B58" s="2">
        <v>89.5</v>
      </c>
      <c r="C58" s="2">
        <v>89.9</v>
      </c>
      <c r="D58" s="2">
        <v>88.66</v>
      </c>
      <c r="E58" s="2">
        <v>89.02</v>
      </c>
      <c r="F58" s="1">
        <f t="shared" si="2"/>
        <v>-3.0284359414168649E-3</v>
      </c>
      <c r="G58" s="1">
        <f t="shared" si="1"/>
        <v>8.9719071993737853E-2</v>
      </c>
    </row>
    <row r="59" spans="1:7" x14ac:dyDescent="0.2">
      <c r="A59" s="3">
        <v>43159</v>
      </c>
      <c r="B59" s="2">
        <v>89.41</v>
      </c>
      <c r="C59" s="2">
        <v>90.3</v>
      </c>
      <c r="D59" s="2">
        <v>89.36</v>
      </c>
      <c r="E59" s="2">
        <v>90.13</v>
      </c>
      <c r="F59" s="1">
        <f t="shared" si="2"/>
        <v>1.2392008980610108E-2</v>
      </c>
      <c r="G59" s="1">
        <f t="shared" si="1"/>
        <v>0.10499953256947832</v>
      </c>
    </row>
    <row r="60" spans="1:7" x14ac:dyDescent="0.2">
      <c r="A60" s="3">
        <v>43160</v>
      </c>
      <c r="B60" s="2">
        <v>89.56</v>
      </c>
      <c r="C60" s="2">
        <v>90.74</v>
      </c>
      <c r="D60" s="2">
        <v>89.47</v>
      </c>
      <c r="E60" s="2">
        <v>90.58</v>
      </c>
      <c r="F60" s="1">
        <f t="shared" si="2"/>
        <v>4.9803655597494435E-3</v>
      </c>
      <c r="G60" s="1">
        <f t="shared" si="1"/>
        <v>9.5896261010016956E-2</v>
      </c>
    </row>
    <row r="61" spans="1:7" x14ac:dyDescent="0.2">
      <c r="A61" s="3">
        <v>43161</v>
      </c>
      <c r="B61" s="2">
        <v>90.64</v>
      </c>
      <c r="C61" s="2">
        <v>90.98</v>
      </c>
      <c r="D61" s="2">
        <v>89.99</v>
      </c>
      <c r="E61" s="2">
        <v>90.11</v>
      </c>
      <c r="F61" s="1">
        <f t="shared" si="2"/>
        <v>-5.2022918811218469E-3</v>
      </c>
      <c r="G61" s="1">
        <f t="shared" si="1"/>
        <v>9.9663355626047098E-2</v>
      </c>
    </row>
    <row r="62" spans="1:7" x14ac:dyDescent="0.2">
      <c r="A62" s="3">
        <v>43162</v>
      </c>
      <c r="B62" s="2">
        <v>90.13</v>
      </c>
      <c r="C62" s="2">
        <v>90.99</v>
      </c>
      <c r="D62" s="2">
        <v>89.98</v>
      </c>
      <c r="E62" s="2">
        <v>90.77</v>
      </c>
      <c r="F62" s="1">
        <f t="shared" si="2"/>
        <v>7.2976882915898877E-3</v>
      </c>
      <c r="G62" s="1">
        <f t="shared" si="1"/>
        <v>0.10323713303885448</v>
      </c>
    </row>
    <row r="63" spans="1:7" x14ac:dyDescent="0.2">
      <c r="A63" s="3">
        <v>43163</v>
      </c>
      <c r="B63" s="2">
        <v>90.59</v>
      </c>
      <c r="C63" s="2">
        <v>90.92</v>
      </c>
      <c r="D63" s="2">
        <v>90.28</v>
      </c>
      <c r="E63" s="2">
        <v>90.58</v>
      </c>
      <c r="F63" s="1">
        <f t="shared" si="2"/>
        <v>-2.0953964104680153E-3</v>
      </c>
      <c r="G63" s="1">
        <f t="shared" si="1"/>
        <v>0.10411908498276061</v>
      </c>
    </row>
    <row r="64" spans="1:7" x14ac:dyDescent="0.2">
      <c r="A64" s="3">
        <v>43164</v>
      </c>
      <c r="B64" s="2">
        <v>90.65</v>
      </c>
      <c r="C64" s="2">
        <v>90.83</v>
      </c>
      <c r="D64" s="2">
        <v>89.86</v>
      </c>
      <c r="E64" s="2">
        <v>89.93</v>
      </c>
      <c r="F64" s="1">
        <f t="shared" si="2"/>
        <v>-7.2018482016435719E-3</v>
      </c>
      <c r="G64" s="1">
        <f t="shared" si="1"/>
        <v>0.1099550177146319</v>
      </c>
    </row>
    <row r="65" spans="1:7" x14ac:dyDescent="0.2">
      <c r="A65" s="3">
        <v>43165</v>
      </c>
      <c r="B65" s="2">
        <v>90.1</v>
      </c>
      <c r="C65" s="2">
        <v>90.33</v>
      </c>
      <c r="D65" s="2">
        <v>89.22</v>
      </c>
      <c r="E65" s="2">
        <v>89.77</v>
      </c>
      <c r="F65" s="1">
        <f t="shared" si="2"/>
        <v>-1.7807461578270714E-3</v>
      </c>
      <c r="G65" s="1">
        <f t="shared" si="1"/>
        <v>0.10697159909342463</v>
      </c>
    </row>
    <row r="66" spans="1:7" x14ac:dyDescent="0.2">
      <c r="A66" s="3">
        <v>43166</v>
      </c>
      <c r="B66" s="2">
        <v>88.61</v>
      </c>
      <c r="C66" s="2">
        <v>89.21</v>
      </c>
      <c r="D66" s="2">
        <v>88.4</v>
      </c>
      <c r="E66" s="2">
        <v>89.01</v>
      </c>
      <c r="F66" s="1">
        <f t="shared" si="2"/>
        <v>-8.5021207977568104E-3</v>
      </c>
      <c r="G66" s="1">
        <f t="shared" si="1"/>
        <v>0.11095626878442588</v>
      </c>
    </row>
    <row r="67" spans="1:7" x14ac:dyDescent="0.2">
      <c r="A67" s="3">
        <v>43167</v>
      </c>
      <c r="B67" s="2">
        <v>89.11</v>
      </c>
      <c r="C67" s="2">
        <v>89.11</v>
      </c>
      <c r="D67" s="2">
        <v>88.15</v>
      </c>
      <c r="E67" s="2">
        <v>88.6</v>
      </c>
      <c r="F67" s="1">
        <f t="shared" si="2"/>
        <v>-4.6168653598049822E-3</v>
      </c>
      <c r="G67" s="1">
        <f t="shared" si="1"/>
        <v>0.10891430387269681</v>
      </c>
    </row>
    <row r="68" spans="1:7" x14ac:dyDescent="0.2">
      <c r="A68" s="3">
        <v>43168</v>
      </c>
      <c r="B68" s="2">
        <v>88.69</v>
      </c>
      <c r="C68" s="2">
        <v>89.34</v>
      </c>
      <c r="D68" s="2">
        <v>88.59</v>
      </c>
      <c r="E68" s="2">
        <v>88.77</v>
      </c>
      <c r="F68" s="1">
        <f t="shared" ref="F68:F99" si="3">LN(E68/E67)</f>
        <v>1.9168974691927813E-3</v>
      </c>
      <c r="G68" s="1">
        <f t="shared" si="1"/>
        <v>0.10882688535348307</v>
      </c>
    </row>
    <row r="69" spans="1:7" x14ac:dyDescent="0.2">
      <c r="A69" s="3">
        <v>43169</v>
      </c>
      <c r="B69" s="2">
        <v>88.45</v>
      </c>
      <c r="C69" s="2">
        <v>89.16</v>
      </c>
      <c r="D69" s="2">
        <v>88.2</v>
      </c>
      <c r="E69" s="2">
        <v>88.68</v>
      </c>
      <c r="F69" s="1">
        <f t="shared" si="3"/>
        <v>-1.0143703321171696E-3</v>
      </c>
      <c r="G69" s="1">
        <f t="shared" si="1"/>
        <v>0.10891730929259386</v>
      </c>
    </row>
    <row r="70" spans="1:7" x14ac:dyDescent="0.2">
      <c r="A70" s="3">
        <v>43170</v>
      </c>
      <c r="B70" s="2">
        <v>88.95</v>
      </c>
      <c r="C70" s="2">
        <v>89.27</v>
      </c>
      <c r="D70" s="2">
        <v>88.23</v>
      </c>
      <c r="E70" s="2">
        <v>89.22</v>
      </c>
      <c r="F70" s="1">
        <f t="shared" si="3"/>
        <v>6.070844952007954E-3</v>
      </c>
      <c r="G70" s="1">
        <f t="shared" si="1"/>
        <v>0.10889857063022267</v>
      </c>
    </row>
    <row r="71" spans="1:7" x14ac:dyDescent="0.2">
      <c r="A71" s="3">
        <v>43171</v>
      </c>
      <c r="B71" s="2">
        <v>88.88</v>
      </c>
      <c r="C71" s="2">
        <v>89.19</v>
      </c>
      <c r="D71" s="2">
        <v>88.41</v>
      </c>
      <c r="E71" s="2">
        <v>88.99</v>
      </c>
      <c r="F71" s="1">
        <f t="shared" si="3"/>
        <v>-2.581225831347908E-3</v>
      </c>
      <c r="G71" s="1">
        <f t="shared" si="1"/>
        <v>9.5277529486602217E-2</v>
      </c>
    </row>
    <row r="72" spans="1:7" x14ac:dyDescent="0.2">
      <c r="A72" s="3">
        <v>43172</v>
      </c>
      <c r="B72" s="2">
        <v>88.29</v>
      </c>
      <c r="C72" s="2">
        <v>88.67</v>
      </c>
      <c r="D72" s="2">
        <v>86.27</v>
      </c>
      <c r="E72" s="2">
        <v>86.49</v>
      </c>
      <c r="F72" s="1">
        <f t="shared" si="3"/>
        <v>-2.849520355035037E-2</v>
      </c>
      <c r="G72" s="1">
        <f t="shared" si="1"/>
        <v>0.15331187384742376</v>
      </c>
    </row>
    <row r="73" spans="1:7" x14ac:dyDescent="0.2">
      <c r="A73" s="3">
        <v>43173</v>
      </c>
      <c r="B73" s="2">
        <v>87.19</v>
      </c>
      <c r="C73" s="2">
        <v>87.23</v>
      </c>
      <c r="D73" s="2">
        <v>86.09</v>
      </c>
      <c r="E73" s="2">
        <v>86.61</v>
      </c>
      <c r="F73" s="1">
        <f t="shared" si="3"/>
        <v>1.3864820245330454E-3</v>
      </c>
      <c r="G73" s="1">
        <f t="shared" si="1"/>
        <v>0.13970910127177796</v>
      </c>
    </row>
    <row r="74" spans="1:7" x14ac:dyDescent="0.2">
      <c r="A74" s="3">
        <v>43174</v>
      </c>
      <c r="B74" s="2">
        <v>86.21</v>
      </c>
      <c r="C74" s="2">
        <v>86.38</v>
      </c>
      <c r="D74" s="2">
        <v>85.02</v>
      </c>
      <c r="E74" s="2">
        <v>86.08</v>
      </c>
      <c r="F74" s="1">
        <f t="shared" si="3"/>
        <v>-6.1381859294791195E-3</v>
      </c>
      <c r="G74" s="1">
        <f t="shared" si="1"/>
        <v>0.13553748005055455</v>
      </c>
    </row>
    <row r="75" spans="1:7" x14ac:dyDescent="0.2">
      <c r="A75" s="3">
        <v>43175</v>
      </c>
      <c r="B75" s="2">
        <v>86.28</v>
      </c>
      <c r="C75" s="2">
        <v>87.08</v>
      </c>
      <c r="D75" s="2">
        <v>85.78</v>
      </c>
      <c r="E75" s="2">
        <v>86.62</v>
      </c>
      <c r="F75" s="1">
        <f t="shared" si="3"/>
        <v>6.2536393730064912E-3</v>
      </c>
      <c r="G75" s="1">
        <f t="shared" si="1"/>
        <v>0.14155815167569386</v>
      </c>
    </row>
    <row r="76" spans="1:7" x14ac:dyDescent="0.2">
      <c r="A76" s="3">
        <v>43176</v>
      </c>
      <c r="B76" s="2">
        <v>87.27</v>
      </c>
      <c r="C76" s="2">
        <v>87.49</v>
      </c>
      <c r="D76" s="2">
        <v>86.43</v>
      </c>
      <c r="E76" s="2">
        <v>87.45</v>
      </c>
      <c r="F76" s="1">
        <f t="shared" si="3"/>
        <v>9.5364656781304728E-3</v>
      </c>
      <c r="G76" s="1">
        <f t="shared" si="1"/>
        <v>0.14493869975305199</v>
      </c>
    </row>
    <row r="77" spans="1:7" x14ac:dyDescent="0.2">
      <c r="A77" s="3">
        <v>43177</v>
      </c>
      <c r="B77" s="2">
        <v>87.61</v>
      </c>
      <c r="C77" s="2">
        <v>88.32</v>
      </c>
      <c r="D77" s="2">
        <v>87.29</v>
      </c>
      <c r="E77" s="2">
        <v>88.09</v>
      </c>
      <c r="F77" s="1">
        <f t="shared" si="3"/>
        <v>7.2918176570932747E-3</v>
      </c>
      <c r="G77" s="1">
        <f t="shared" si="1"/>
        <v>0.15099478227677285</v>
      </c>
    </row>
    <row r="78" spans="1:7" x14ac:dyDescent="0.2">
      <c r="A78" s="3">
        <v>43178</v>
      </c>
      <c r="B78" s="2">
        <v>88.39</v>
      </c>
      <c r="C78" s="2">
        <v>89.49</v>
      </c>
      <c r="D78" s="2">
        <v>87.94</v>
      </c>
      <c r="E78" s="2">
        <v>89.3</v>
      </c>
      <c r="F78" s="1">
        <f t="shared" si="3"/>
        <v>1.3642468760748998E-2</v>
      </c>
      <c r="G78" s="1">
        <f t="shared" si="1"/>
        <v>0.16250909951821563</v>
      </c>
    </row>
    <row r="79" spans="1:7" x14ac:dyDescent="0.2">
      <c r="A79" s="3">
        <v>43179</v>
      </c>
      <c r="B79" s="2">
        <v>89.45</v>
      </c>
      <c r="C79" s="2">
        <v>89.89</v>
      </c>
      <c r="D79" s="2">
        <v>89.35</v>
      </c>
      <c r="E79" s="2">
        <v>89.43</v>
      </c>
      <c r="F79" s="1">
        <f t="shared" si="3"/>
        <v>1.4547084756364563E-3</v>
      </c>
      <c r="G79" s="1">
        <f t="shared" si="1"/>
        <v>0.16259536385013482</v>
      </c>
    </row>
    <row r="80" spans="1:7" x14ac:dyDescent="0.2">
      <c r="A80" s="3">
        <v>43180</v>
      </c>
      <c r="B80" s="2">
        <v>88.89</v>
      </c>
      <c r="C80" s="2">
        <v>88.9</v>
      </c>
      <c r="D80" s="2">
        <v>87.65</v>
      </c>
      <c r="E80" s="2">
        <v>88.07</v>
      </c>
      <c r="F80" s="1">
        <f t="shared" si="3"/>
        <v>-1.5324243540721838E-2</v>
      </c>
      <c r="G80" s="1">
        <f t="shared" si="1"/>
        <v>0.17161591115355868</v>
      </c>
    </row>
    <row r="81" spans="1:7" x14ac:dyDescent="0.2">
      <c r="A81" s="3">
        <v>43181</v>
      </c>
      <c r="B81" s="2">
        <v>87.81</v>
      </c>
      <c r="C81" s="2">
        <v>88.28</v>
      </c>
      <c r="D81" s="2">
        <v>87.6</v>
      </c>
      <c r="E81" s="2">
        <v>88</v>
      </c>
      <c r="F81" s="1">
        <f t="shared" si="3"/>
        <v>-7.9513833916151726E-4</v>
      </c>
      <c r="G81" s="1">
        <f t="shared" si="1"/>
        <v>0.17071385943712467</v>
      </c>
    </row>
    <row r="82" spans="1:7" x14ac:dyDescent="0.2">
      <c r="A82" s="3">
        <v>43182</v>
      </c>
      <c r="B82" s="2">
        <v>88.26</v>
      </c>
      <c r="C82" s="2">
        <v>88.83</v>
      </c>
      <c r="D82" s="2">
        <v>88.01</v>
      </c>
      <c r="E82" s="2">
        <v>88.21</v>
      </c>
      <c r="F82" s="1">
        <f t="shared" si="3"/>
        <v>2.3835207924689226E-3</v>
      </c>
      <c r="G82" s="1">
        <f t="shared" si="1"/>
        <v>0.17085256633832277</v>
      </c>
    </row>
    <row r="83" spans="1:7" x14ac:dyDescent="0.2">
      <c r="A83" s="3">
        <v>43183</v>
      </c>
      <c r="B83" s="2">
        <v>88.26</v>
      </c>
      <c r="C83" s="2">
        <v>88.99</v>
      </c>
      <c r="D83" s="2">
        <v>87.76</v>
      </c>
      <c r="E83" s="2">
        <v>88.99</v>
      </c>
      <c r="F83" s="1">
        <f t="shared" si="3"/>
        <v>8.8036685980953013E-3</v>
      </c>
      <c r="G83" s="1">
        <f t="shared" si="1"/>
        <v>0.17524737206196667</v>
      </c>
    </row>
    <row r="84" spans="1:7" x14ac:dyDescent="0.2">
      <c r="A84" s="3">
        <v>43184</v>
      </c>
      <c r="B84" s="2">
        <v>88.52</v>
      </c>
      <c r="C84" s="2">
        <v>88.84</v>
      </c>
      <c r="D84" s="2">
        <v>87.48</v>
      </c>
      <c r="E84" s="2">
        <v>87.51</v>
      </c>
      <c r="F84" s="1">
        <f t="shared" si="3"/>
        <v>-1.6770931321031052E-2</v>
      </c>
      <c r="G84" s="1">
        <f t="shared" si="1"/>
        <v>0.1869431191312349</v>
      </c>
    </row>
    <row r="85" spans="1:7" x14ac:dyDescent="0.2">
      <c r="A85" s="3">
        <v>43185</v>
      </c>
      <c r="B85" s="2">
        <v>87.98</v>
      </c>
      <c r="C85" s="2">
        <v>88.84</v>
      </c>
      <c r="D85" s="2">
        <v>87.74</v>
      </c>
      <c r="E85" s="2">
        <v>88.63</v>
      </c>
      <c r="F85" s="1">
        <f t="shared" si="3"/>
        <v>1.2717328202566811E-2</v>
      </c>
      <c r="G85" s="1">
        <f t="shared" ref="G85:G148" si="4">STDEV(F72:F85)*SQRT(252)</f>
        <v>0.19608532038943011</v>
      </c>
    </row>
    <row r="86" spans="1:7" x14ac:dyDescent="0.2">
      <c r="A86" s="3">
        <v>43186</v>
      </c>
      <c r="B86" s="2">
        <v>89</v>
      </c>
      <c r="C86" s="2">
        <v>90.19</v>
      </c>
      <c r="D86" s="2">
        <v>88.92</v>
      </c>
      <c r="E86" s="2">
        <v>90.02</v>
      </c>
      <c r="F86" s="1">
        <f t="shared" si="3"/>
        <v>1.556146711448006E-2</v>
      </c>
      <c r="G86" s="1">
        <f t="shared" si="4"/>
        <v>0.15877905889890542</v>
      </c>
    </row>
    <row r="87" spans="1:7" x14ac:dyDescent="0.2">
      <c r="A87" s="3">
        <v>43187</v>
      </c>
      <c r="B87" s="2">
        <v>90.25</v>
      </c>
      <c r="C87" s="2">
        <v>90.88</v>
      </c>
      <c r="D87" s="2">
        <v>89.93</v>
      </c>
      <c r="E87" s="2">
        <v>90.58</v>
      </c>
      <c r="F87" s="1">
        <f t="shared" si="3"/>
        <v>6.201570263281107E-3</v>
      </c>
      <c r="G87" s="1">
        <f t="shared" si="4"/>
        <v>0.15922795308066995</v>
      </c>
    </row>
    <row r="88" spans="1:7" x14ac:dyDescent="0.2">
      <c r="A88" s="3">
        <v>43188</v>
      </c>
      <c r="B88" s="2">
        <v>90.62</v>
      </c>
      <c r="C88" s="2">
        <v>91.15</v>
      </c>
      <c r="D88" s="2">
        <v>90.14</v>
      </c>
      <c r="E88" s="2">
        <v>91.15</v>
      </c>
      <c r="F88" s="1">
        <f t="shared" si="3"/>
        <v>6.2730629966042976E-3</v>
      </c>
      <c r="G88" s="1">
        <f t="shared" si="4"/>
        <v>0.15372808201185575</v>
      </c>
    </row>
    <row r="89" spans="1:7" x14ac:dyDescent="0.2">
      <c r="A89" s="3">
        <v>43189</v>
      </c>
      <c r="B89" s="2">
        <v>91.05</v>
      </c>
      <c r="C89" s="2">
        <v>91.85</v>
      </c>
      <c r="D89" s="2">
        <v>91.03</v>
      </c>
      <c r="E89" s="2">
        <v>91.7</v>
      </c>
      <c r="F89" s="1">
        <f t="shared" si="3"/>
        <v>6.0158781377470721E-3</v>
      </c>
      <c r="G89" s="1">
        <f t="shared" si="4"/>
        <v>0.15366644579478372</v>
      </c>
    </row>
    <row r="90" spans="1:7" x14ac:dyDescent="0.2">
      <c r="A90" s="3">
        <v>43190</v>
      </c>
      <c r="B90" s="2">
        <v>91.14</v>
      </c>
      <c r="C90" s="2">
        <v>91.56</v>
      </c>
      <c r="D90" s="2">
        <v>90.69</v>
      </c>
      <c r="E90" s="2">
        <v>91.03</v>
      </c>
      <c r="F90" s="1">
        <f t="shared" si="3"/>
        <v>-7.3332567452218059E-3</v>
      </c>
      <c r="G90" s="1">
        <f t="shared" si="4"/>
        <v>0.1586230896179141</v>
      </c>
    </row>
    <row r="91" spans="1:7" x14ac:dyDescent="0.2">
      <c r="A91" s="3">
        <v>43191</v>
      </c>
      <c r="B91" s="2">
        <v>90.87</v>
      </c>
      <c r="C91" s="2">
        <v>90.95</v>
      </c>
      <c r="D91" s="2">
        <v>89.79</v>
      </c>
      <c r="E91" s="2">
        <v>90.14</v>
      </c>
      <c r="F91" s="1">
        <f t="shared" si="3"/>
        <v>-9.8251052546951701E-3</v>
      </c>
      <c r="G91" s="1">
        <f t="shared" si="4"/>
        <v>0.16582512581201272</v>
      </c>
    </row>
    <row r="92" spans="1:7" x14ac:dyDescent="0.2">
      <c r="A92" s="3">
        <v>43192</v>
      </c>
      <c r="B92" s="2">
        <v>89.8</v>
      </c>
      <c r="C92" s="2">
        <v>90.14</v>
      </c>
      <c r="D92" s="2">
        <v>89.43</v>
      </c>
      <c r="E92" s="2">
        <v>90.1</v>
      </c>
      <c r="F92" s="1">
        <f t="shared" si="3"/>
        <v>-4.4385264821010929E-4</v>
      </c>
      <c r="G92" s="1">
        <f t="shared" si="4"/>
        <v>0.15657787005633128</v>
      </c>
    </row>
    <row r="93" spans="1:7" x14ac:dyDescent="0.2">
      <c r="A93" s="3">
        <v>43193</v>
      </c>
      <c r="B93" s="2">
        <v>90.15</v>
      </c>
      <c r="C93" s="2">
        <v>91.19</v>
      </c>
      <c r="D93" s="2">
        <v>90.02</v>
      </c>
      <c r="E93" s="2">
        <v>91.11</v>
      </c>
      <c r="F93" s="1">
        <f t="shared" si="3"/>
        <v>1.1147403111474812E-2</v>
      </c>
      <c r="G93" s="1">
        <f t="shared" si="4"/>
        <v>0.16283414343344071</v>
      </c>
    </row>
    <row r="94" spans="1:7" x14ac:dyDescent="0.2">
      <c r="A94" s="3">
        <v>43194</v>
      </c>
      <c r="B94" s="2">
        <v>90.64</v>
      </c>
      <c r="C94" s="2">
        <v>91.32</v>
      </c>
      <c r="D94" s="2">
        <v>90.41</v>
      </c>
      <c r="E94" s="2">
        <v>91.24</v>
      </c>
      <c r="F94" s="1">
        <f t="shared" si="3"/>
        <v>1.4258296904202119E-3</v>
      </c>
      <c r="G94" s="1">
        <f t="shared" si="4"/>
        <v>0.14405023722365815</v>
      </c>
    </row>
    <row r="95" spans="1:7" x14ac:dyDescent="0.2">
      <c r="A95" s="3">
        <v>43195</v>
      </c>
      <c r="B95" s="2">
        <v>90.8</v>
      </c>
      <c r="C95" s="2">
        <v>91.29</v>
      </c>
      <c r="D95" s="2">
        <v>90.5</v>
      </c>
      <c r="E95" s="2">
        <v>90.7</v>
      </c>
      <c r="F95" s="1">
        <f t="shared" si="3"/>
        <v>-5.9360402950963086E-3</v>
      </c>
      <c r="G95" s="1">
        <f t="shared" si="4"/>
        <v>0.14794622780479599</v>
      </c>
    </row>
    <row r="96" spans="1:7" x14ac:dyDescent="0.2">
      <c r="A96" s="3">
        <v>43196</v>
      </c>
      <c r="B96" s="2">
        <v>91.07</v>
      </c>
      <c r="C96" s="2">
        <v>91.88</v>
      </c>
      <c r="D96" s="2">
        <v>90.53</v>
      </c>
      <c r="E96" s="2">
        <v>91.76</v>
      </c>
      <c r="F96" s="1">
        <f t="shared" si="3"/>
        <v>1.1619115700024352E-2</v>
      </c>
      <c r="G96" s="1">
        <f t="shared" si="4"/>
        <v>0.15330997670356583</v>
      </c>
    </row>
    <row r="97" spans="1:7" x14ac:dyDescent="0.2">
      <c r="A97" s="3">
        <v>43197</v>
      </c>
      <c r="B97" s="2">
        <v>91.61</v>
      </c>
      <c r="C97" s="2">
        <v>92.69</v>
      </c>
      <c r="D97" s="2">
        <v>91.46</v>
      </c>
      <c r="E97" s="2">
        <v>92.52</v>
      </c>
      <c r="F97" s="1">
        <f t="shared" si="3"/>
        <v>8.2483645421230194E-3</v>
      </c>
      <c r="G97" s="1">
        <f t="shared" si="4"/>
        <v>0.15290729909387452</v>
      </c>
    </row>
    <row r="98" spans="1:7" x14ac:dyDescent="0.2">
      <c r="A98" s="3">
        <v>43198</v>
      </c>
      <c r="B98" s="2">
        <v>92.67</v>
      </c>
      <c r="C98" s="2">
        <v>93.43</v>
      </c>
      <c r="D98" s="2">
        <v>92.38</v>
      </c>
      <c r="E98" s="2">
        <v>92.8</v>
      </c>
      <c r="F98" s="1">
        <f t="shared" si="3"/>
        <v>3.0218024289164476E-3</v>
      </c>
      <c r="G98" s="1">
        <f t="shared" si="4"/>
        <v>0.12422095393168005</v>
      </c>
    </row>
    <row r="99" spans="1:7" x14ac:dyDescent="0.2">
      <c r="A99" s="3">
        <v>43199</v>
      </c>
      <c r="B99" s="2">
        <v>92.83</v>
      </c>
      <c r="C99" s="2">
        <v>93.5</v>
      </c>
      <c r="D99" s="2">
        <v>91.81</v>
      </c>
      <c r="E99" s="2">
        <v>92.19</v>
      </c>
      <c r="F99" s="1">
        <f t="shared" si="3"/>
        <v>-6.5949749816518518E-3</v>
      </c>
      <c r="G99" s="1">
        <f t="shared" si="4"/>
        <v>0.12554442886397926</v>
      </c>
    </row>
    <row r="100" spans="1:7" x14ac:dyDescent="0.2">
      <c r="A100" s="3">
        <v>43200</v>
      </c>
      <c r="B100" s="2">
        <v>91.56</v>
      </c>
      <c r="C100" s="2">
        <v>92.36</v>
      </c>
      <c r="D100" s="2">
        <v>91.36</v>
      </c>
      <c r="E100" s="2">
        <v>91.79</v>
      </c>
      <c r="F100" s="1">
        <f t="shared" ref="F100:F131" si="5">LN(E100/E99)</f>
        <v>-4.3483055795032451E-3</v>
      </c>
      <c r="G100" s="1">
        <f t="shared" si="4"/>
        <v>0.11426362211573388</v>
      </c>
    </row>
    <row r="101" spans="1:7" x14ac:dyDescent="0.2">
      <c r="A101" s="3">
        <v>43201</v>
      </c>
      <c r="B101" s="2">
        <v>91.38</v>
      </c>
      <c r="C101" s="2">
        <v>91.77</v>
      </c>
      <c r="D101" s="2">
        <v>91</v>
      </c>
      <c r="E101" s="2">
        <v>91.53</v>
      </c>
      <c r="F101" s="1">
        <f t="shared" si="5"/>
        <v>-2.8365718343116506E-3</v>
      </c>
      <c r="G101" s="1">
        <f t="shared" si="4"/>
        <v>0.11331753711533789</v>
      </c>
    </row>
    <row r="102" spans="1:7" x14ac:dyDescent="0.2">
      <c r="A102" s="3">
        <v>43202</v>
      </c>
      <c r="B102" s="2">
        <v>92.94</v>
      </c>
      <c r="C102" s="2">
        <v>93.18</v>
      </c>
      <c r="D102" s="2">
        <v>91.76</v>
      </c>
      <c r="E102" s="2">
        <v>92.38</v>
      </c>
      <c r="F102" s="1">
        <f t="shared" si="5"/>
        <v>9.2437176057712442E-3</v>
      </c>
      <c r="G102" s="1">
        <f t="shared" si="4"/>
        <v>0.11677478257945091</v>
      </c>
    </row>
    <row r="103" spans="1:7" x14ac:dyDescent="0.2">
      <c r="A103" s="3">
        <v>43203</v>
      </c>
      <c r="B103" s="2">
        <v>91.76</v>
      </c>
      <c r="C103" s="2">
        <v>92.42</v>
      </c>
      <c r="D103" s="2">
        <v>91.59</v>
      </c>
      <c r="E103" s="2">
        <v>92.08</v>
      </c>
      <c r="F103" s="1">
        <f t="shared" si="5"/>
        <v>-3.2527405888321302E-3</v>
      </c>
      <c r="G103" s="1">
        <f t="shared" si="4"/>
        <v>0.11560705871874173</v>
      </c>
    </row>
    <row r="104" spans="1:7" x14ac:dyDescent="0.2">
      <c r="A104" s="3">
        <v>43204</v>
      </c>
      <c r="B104" s="2">
        <v>91.97</v>
      </c>
      <c r="C104" s="2">
        <v>92.68</v>
      </c>
      <c r="D104" s="2">
        <v>91.6</v>
      </c>
      <c r="E104" s="2">
        <v>92.09</v>
      </c>
      <c r="F104" s="1">
        <f t="shared" si="5"/>
        <v>1.0859531964843E-4</v>
      </c>
      <c r="G104" s="1">
        <f t="shared" si="4"/>
        <v>0.11027636367883957</v>
      </c>
    </row>
    <row r="105" spans="1:7" x14ac:dyDescent="0.2">
      <c r="A105" s="3">
        <v>43205</v>
      </c>
      <c r="B105" s="2">
        <v>91.95</v>
      </c>
      <c r="C105" s="2">
        <v>92.37</v>
      </c>
      <c r="D105" s="2">
        <v>90.46</v>
      </c>
      <c r="E105" s="2">
        <v>90.47</v>
      </c>
      <c r="F105" s="1">
        <f t="shared" si="5"/>
        <v>-1.7748055695625473E-2</v>
      </c>
      <c r="G105" s="1">
        <f t="shared" si="4"/>
        <v>0.12869634102104799</v>
      </c>
    </row>
    <row r="106" spans="1:7" x14ac:dyDescent="0.2">
      <c r="A106" s="3">
        <v>43206</v>
      </c>
      <c r="B106" s="2">
        <v>90.53</v>
      </c>
      <c r="C106" s="2">
        <v>91.51</v>
      </c>
      <c r="D106" s="2">
        <v>90.48</v>
      </c>
      <c r="E106" s="2">
        <v>91.46</v>
      </c>
      <c r="F106" s="1">
        <f t="shared" si="5"/>
        <v>1.0883414192258807E-2</v>
      </c>
      <c r="G106" s="1">
        <f t="shared" si="4"/>
        <v>0.13624510668976708</v>
      </c>
    </row>
    <row r="107" spans="1:7" x14ac:dyDescent="0.2">
      <c r="A107" s="3">
        <v>43207</v>
      </c>
      <c r="B107" s="2">
        <v>91.18</v>
      </c>
      <c r="C107" s="2">
        <v>91.49</v>
      </c>
      <c r="D107" s="2">
        <v>90.22</v>
      </c>
      <c r="E107" s="2">
        <v>90.79</v>
      </c>
      <c r="F107" s="1">
        <f t="shared" si="5"/>
        <v>-7.3525708462431911E-3</v>
      </c>
      <c r="G107" s="1">
        <f t="shared" si="4"/>
        <v>0.13227047264835604</v>
      </c>
    </row>
    <row r="108" spans="1:7" x14ac:dyDescent="0.2">
      <c r="A108" s="3">
        <v>43208</v>
      </c>
      <c r="B108" s="2">
        <v>90.68</v>
      </c>
      <c r="C108" s="2">
        <v>91.12</v>
      </c>
      <c r="D108" s="2">
        <v>89.61</v>
      </c>
      <c r="E108" s="2">
        <v>89.65</v>
      </c>
      <c r="F108" s="1">
        <f t="shared" si="5"/>
        <v>-1.2635947332523918E-2</v>
      </c>
      <c r="G108" s="1">
        <f t="shared" si="4"/>
        <v>0.14191674486013492</v>
      </c>
    </row>
    <row r="109" spans="1:7" x14ac:dyDescent="0.2">
      <c r="A109" s="3">
        <v>43209</v>
      </c>
      <c r="B109" s="2">
        <v>89.45</v>
      </c>
      <c r="C109" s="2">
        <v>90.23</v>
      </c>
      <c r="D109" s="2">
        <v>89</v>
      </c>
      <c r="E109" s="2">
        <v>90.23</v>
      </c>
      <c r="F109" s="1">
        <f t="shared" si="5"/>
        <v>6.4487659552674029E-3</v>
      </c>
      <c r="G109" s="1">
        <f t="shared" si="4"/>
        <v>0.1437150483658147</v>
      </c>
    </row>
    <row r="110" spans="1:7" x14ac:dyDescent="0.2">
      <c r="A110" s="3">
        <v>43210</v>
      </c>
      <c r="B110" s="2">
        <v>90.89</v>
      </c>
      <c r="C110" s="2">
        <v>91.5</v>
      </c>
      <c r="D110" s="2">
        <v>90.49</v>
      </c>
      <c r="E110" s="2">
        <v>91.45</v>
      </c>
      <c r="F110" s="1">
        <f t="shared" si="5"/>
        <v>1.3430408830465469E-2</v>
      </c>
      <c r="G110" s="1">
        <f t="shared" si="4"/>
        <v>0.1468163866591389</v>
      </c>
    </row>
    <row r="111" spans="1:7" x14ac:dyDescent="0.2">
      <c r="A111" s="3">
        <v>43211</v>
      </c>
      <c r="B111" s="2">
        <v>91.93</v>
      </c>
      <c r="C111" s="2">
        <v>91.94</v>
      </c>
      <c r="D111" s="2">
        <v>90.87</v>
      </c>
      <c r="E111" s="2">
        <v>91.12</v>
      </c>
      <c r="F111" s="1">
        <f t="shared" si="5"/>
        <v>-3.6150556979479783E-3</v>
      </c>
      <c r="G111" s="1">
        <f t="shared" si="4"/>
        <v>0.1420686148852634</v>
      </c>
    </row>
    <row r="112" spans="1:7" x14ac:dyDescent="0.2">
      <c r="A112" s="3">
        <v>43212</v>
      </c>
      <c r="B112" s="2">
        <v>90.38</v>
      </c>
      <c r="C112" s="2">
        <v>91.04</v>
      </c>
      <c r="D112" s="2">
        <v>90.23</v>
      </c>
      <c r="E112" s="2">
        <v>90.46</v>
      </c>
      <c r="F112" s="1">
        <f t="shared" si="5"/>
        <v>-7.2695550892297534E-3</v>
      </c>
      <c r="G112" s="1">
        <f t="shared" si="4"/>
        <v>0.14300246109839621</v>
      </c>
    </row>
    <row r="113" spans="1:7" x14ac:dyDescent="0.2">
      <c r="A113" s="3">
        <v>43213</v>
      </c>
      <c r="B113" s="2">
        <v>91.13</v>
      </c>
      <c r="C113" s="2">
        <v>91.32</v>
      </c>
      <c r="D113" s="2">
        <v>89.59</v>
      </c>
      <c r="E113" s="2">
        <v>89.74</v>
      </c>
      <c r="F113" s="1">
        <f t="shared" si="5"/>
        <v>-7.9911635018597525E-3</v>
      </c>
      <c r="G113" s="1">
        <f t="shared" si="4"/>
        <v>0.14402440684972168</v>
      </c>
    </row>
    <row r="114" spans="1:7" x14ac:dyDescent="0.2">
      <c r="A114" s="3">
        <v>43214</v>
      </c>
      <c r="B114" s="2">
        <v>89.63</v>
      </c>
      <c r="C114" s="2">
        <v>91.71</v>
      </c>
      <c r="D114" s="2">
        <v>89.61</v>
      </c>
      <c r="E114" s="2">
        <v>91.33</v>
      </c>
      <c r="F114" s="1">
        <f t="shared" si="5"/>
        <v>1.7562720155750333E-2</v>
      </c>
      <c r="G114" s="1">
        <f t="shared" si="4"/>
        <v>0.16530355183395512</v>
      </c>
    </row>
    <row r="115" spans="1:7" x14ac:dyDescent="0.2">
      <c r="A115" s="3">
        <v>43215</v>
      </c>
      <c r="B115" s="2">
        <v>91.16</v>
      </c>
      <c r="C115" s="2">
        <v>91.3</v>
      </c>
      <c r="D115" s="2">
        <v>90.29</v>
      </c>
      <c r="E115" s="2">
        <v>90.58</v>
      </c>
      <c r="F115" s="1">
        <f t="shared" si="5"/>
        <v>-8.245882575519739E-3</v>
      </c>
      <c r="G115" s="1">
        <f t="shared" si="4"/>
        <v>0.16843862004298207</v>
      </c>
    </row>
    <row r="116" spans="1:7" x14ac:dyDescent="0.2">
      <c r="A116" s="3">
        <v>43216</v>
      </c>
      <c r="B116" s="2">
        <v>90.97</v>
      </c>
      <c r="C116" s="2">
        <v>91.77</v>
      </c>
      <c r="D116" s="2">
        <v>90.77</v>
      </c>
      <c r="E116" s="2">
        <v>91.51</v>
      </c>
      <c r="F116" s="1">
        <f t="shared" si="5"/>
        <v>1.0214817799219017E-2</v>
      </c>
      <c r="G116" s="1">
        <f t="shared" si="4"/>
        <v>0.16960134337820457</v>
      </c>
    </row>
    <row r="117" spans="1:7" x14ac:dyDescent="0.2">
      <c r="A117" s="3">
        <v>43217</v>
      </c>
      <c r="B117" s="2">
        <v>91.36</v>
      </c>
      <c r="C117" s="2">
        <v>92.06</v>
      </c>
      <c r="D117" s="2">
        <v>91.26</v>
      </c>
      <c r="E117" s="2">
        <v>91.93</v>
      </c>
      <c r="F117" s="1">
        <f t="shared" si="5"/>
        <v>4.5791619483765379E-3</v>
      </c>
      <c r="G117" s="1">
        <f t="shared" si="4"/>
        <v>0.17054700493310912</v>
      </c>
    </row>
    <row r="118" spans="1:7" x14ac:dyDescent="0.2">
      <c r="A118" s="3">
        <v>43218</v>
      </c>
      <c r="B118" s="2">
        <v>91.79</v>
      </c>
      <c r="C118" s="2">
        <v>92.27</v>
      </c>
      <c r="D118" s="2">
        <v>91</v>
      </c>
      <c r="E118" s="2">
        <v>91</v>
      </c>
      <c r="F118" s="1">
        <f t="shared" si="5"/>
        <v>-1.0167911358813319E-2</v>
      </c>
      <c r="G118" s="1">
        <f t="shared" si="4"/>
        <v>0.17577695345050193</v>
      </c>
    </row>
    <row r="119" spans="1:7" x14ac:dyDescent="0.2">
      <c r="A119" s="3">
        <v>43219</v>
      </c>
      <c r="B119" s="2">
        <v>90.24</v>
      </c>
      <c r="C119" s="2">
        <v>90.52</v>
      </c>
      <c r="D119" s="2">
        <v>88.79</v>
      </c>
      <c r="E119" s="2">
        <v>89.05</v>
      </c>
      <c r="F119" s="1">
        <f t="shared" si="5"/>
        <v>-2.1661496781179419E-2</v>
      </c>
      <c r="G119" s="1">
        <f t="shared" si="4"/>
        <v>0.18367614184240977</v>
      </c>
    </row>
    <row r="120" spans="1:7" x14ac:dyDescent="0.2">
      <c r="A120" s="3">
        <v>43220</v>
      </c>
      <c r="B120" s="2">
        <v>89.76</v>
      </c>
      <c r="C120" s="2">
        <v>90.14</v>
      </c>
      <c r="D120" s="2">
        <v>88.85</v>
      </c>
      <c r="E120" s="2">
        <v>89.48</v>
      </c>
      <c r="F120" s="1">
        <f t="shared" si="5"/>
        <v>4.8171268862581967E-3</v>
      </c>
      <c r="G120" s="1">
        <f t="shared" si="4"/>
        <v>0.17769057081875411</v>
      </c>
    </row>
    <row r="121" spans="1:7" x14ac:dyDescent="0.2">
      <c r="A121" s="3">
        <v>43221</v>
      </c>
      <c r="B121" s="2">
        <v>88.95</v>
      </c>
      <c r="C121" s="2">
        <v>89.5</v>
      </c>
      <c r="D121" s="2">
        <v>88.02</v>
      </c>
      <c r="E121" s="2">
        <v>88.48</v>
      </c>
      <c r="F121" s="1">
        <f t="shared" si="5"/>
        <v>-1.123859884790415E-2</v>
      </c>
      <c r="G121" s="1">
        <f t="shared" si="4"/>
        <v>0.18088106173766511</v>
      </c>
    </row>
    <row r="122" spans="1:7" x14ac:dyDescent="0.2">
      <c r="A122" s="3">
        <v>43222</v>
      </c>
      <c r="B122" s="2">
        <v>89.58</v>
      </c>
      <c r="C122" s="2">
        <v>89.62</v>
      </c>
      <c r="D122" s="2">
        <v>88.48</v>
      </c>
      <c r="E122" s="2">
        <v>89.11</v>
      </c>
      <c r="F122" s="1">
        <f t="shared" si="5"/>
        <v>7.0950238506037148E-3</v>
      </c>
      <c r="G122" s="1">
        <f t="shared" si="4"/>
        <v>0.17739177039510412</v>
      </c>
    </row>
    <row r="123" spans="1:7" x14ac:dyDescent="0.2">
      <c r="A123" s="3">
        <v>43223</v>
      </c>
      <c r="B123" s="2">
        <v>89.42</v>
      </c>
      <c r="C123" s="2">
        <v>89.97</v>
      </c>
      <c r="D123" s="2">
        <v>88.73</v>
      </c>
      <c r="E123" s="2">
        <v>89.8</v>
      </c>
      <c r="F123" s="1">
        <f t="shared" si="5"/>
        <v>7.7134136835254295E-3</v>
      </c>
      <c r="G123" s="1">
        <f t="shared" si="4"/>
        <v>0.17842075522800263</v>
      </c>
    </row>
    <row r="124" spans="1:7" x14ac:dyDescent="0.2">
      <c r="A124" s="3">
        <v>43224</v>
      </c>
      <c r="B124" s="2">
        <v>90.24</v>
      </c>
      <c r="C124" s="2">
        <v>90.67</v>
      </c>
      <c r="D124" s="2">
        <v>90.03</v>
      </c>
      <c r="E124" s="2">
        <v>90.04</v>
      </c>
      <c r="F124" s="1">
        <f t="shared" si="5"/>
        <v>2.6690407303775715E-3</v>
      </c>
      <c r="G124" s="1">
        <f t="shared" si="4"/>
        <v>0.16784765288758138</v>
      </c>
    </row>
    <row r="125" spans="1:7" x14ac:dyDescent="0.2">
      <c r="A125" s="3">
        <v>43225</v>
      </c>
      <c r="B125" s="2">
        <v>89.85</v>
      </c>
      <c r="C125" s="2">
        <v>90.75</v>
      </c>
      <c r="D125" s="2">
        <v>89.56</v>
      </c>
      <c r="E125" s="2">
        <v>90.35</v>
      </c>
      <c r="F125" s="1">
        <f t="shared" si="5"/>
        <v>3.4370009997057647E-3</v>
      </c>
      <c r="G125" s="1">
        <f t="shared" si="4"/>
        <v>0.16847278806799984</v>
      </c>
    </row>
    <row r="126" spans="1:7" x14ac:dyDescent="0.2">
      <c r="A126" s="3">
        <v>43226</v>
      </c>
      <c r="B126" s="2">
        <v>90.39</v>
      </c>
      <c r="C126" s="2">
        <v>91.13</v>
      </c>
      <c r="D126" s="2">
        <v>89.96</v>
      </c>
      <c r="E126" s="2">
        <v>90.3</v>
      </c>
      <c r="F126" s="1">
        <f t="shared" si="5"/>
        <v>-5.5355661529770913E-4</v>
      </c>
      <c r="G126" s="1">
        <f t="shared" si="4"/>
        <v>0.16571055925779757</v>
      </c>
    </row>
    <row r="127" spans="1:7" x14ac:dyDescent="0.2">
      <c r="A127" s="3">
        <v>43227</v>
      </c>
      <c r="B127" s="2">
        <v>90.37</v>
      </c>
      <c r="C127" s="2">
        <v>91.1</v>
      </c>
      <c r="D127" s="2">
        <v>90.12</v>
      </c>
      <c r="E127" s="2">
        <v>90.64</v>
      </c>
      <c r="F127" s="1">
        <f t="shared" si="5"/>
        <v>3.7581562968112595E-3</v>
      </c>
      <c r="G127" s="1">
        <f t="shared" si="4"/>
        <v>0.16236488155095719</v>
      </c>
    </row>
    <row r="128" spans="1:7" x14ac:dyDescent="0.2">
      <c r="A128" s="3">
        <v>43228</v>
      </c>
      <c r="B128" s="2">
        <v>90.63</v>
      </c>
      <c r="C128" s="2">
        <v>90.87</v>
      </c>
      <c r="D128" s="2">
        <v>90.14</v>
      </c>
      <c r="E128" s="2">
        <v>90.69</v>
      </c>
      <c r="F128" s="1">
        <f t="shared" si="5"/>
        <v>5.5148073972553573E-4</v>
      </c>
      <c r="G128" s="1">
        <f t="shared" si="4"/>
        <v>0.14303318189834791</v>
      </c>
    </row>
    <row r="129" spans="1:7" x14ac:dyDescent="0.2">
      <c r="A129" s="3">
        <v>43229</v>
      </c>
      <c r="B129" s="2">
        <v>91.1</v>
      </c>
      <c r="C129" s="2">
        <v>91.61</v>
      </c>
      <c r="D129" s="2">
        <v>90.57</v>
      </c>
      <c r="E129" s="2">
        <v>91.57</v>
      </c>
      <c r="F129" s="1">
        <f t="shared" si="5"/>
        <v>9.656609660164385E-3</v>
      </c>
      <c r="G129" s="1">
        <f t="shared" si="4"/>
        <v>0.14440540897266146</v>
      </c>
    </row>
    <row r="130" spans="1:7" x14ac:dyDescent="0.2">
      <c r="A130" s="3">
        <v>43230</v>
      </c>
      <c r="B130" s="2">
        <v>91.96</v>
      </c>
      <c r="C130" s="2">
        <v>92.53</v>
      </c>
      <c r="D130" s="2">
        <v>91.9</v>
      </c>
      <c r="E130" s="2">
        <v>92.25</v>
      </c>
      <c r="F130" s="1">
        <f t="shared" si="5"/>
        <v>7.3985758009959277E-3</v>
      </c>
      <c r="G130" s="1">
        <f t="shared" si="4"/>
        <v>0.14129815805898277</v>
      </c>
    </row>
    <row r="131" spans="1:7" x14ac:dyDescent="0.2">
      <c r="A131" s="3">
        <v>43231</v>
      </c>
      <c r="B131" s="2">
        <v>92.64</v>
      </c>
      <c r="C131" s="2">
        <v>93.44</v>
      </c>
      <c r="D131" s="2">
        <v>92.25</v>
      </c>
      <c r="E131" s="2">
        <v>93.34</v>
      </c>
      <c r="F131" s="1">
        <f t="shared" si="5"/>
        <v>1.1746457601033041E-2</v>
      </c>
      <c r="G131" s="1">
        <f t="shared" si="4"/>
        <v>0.14833202779056165</v>
      </c>
    </row>
    <row r="132" spans="1:7" x14ac:dyDescent="0.2">
      <c r="A132" s="3">
        <v>43232</v>
      </c>
      <c r="B132" s="2">
        <v>93.28</v>
      </c>
      <c r="C132" s="2">
        <v>93.39</v>
      </c>
      <c r="D132" s="2">
        <v>92.38</v>
      </c>
      <c r="E132" s="2">
        <v>92.82</v>
      </c>
      <c r="F132" s="1">
        <f t="shared" ref="F132:F163" si="6">LN(E132/E131)</f>
        <v>-5.586606708639935E-3</v>
      </c>
      <c r="G132" s="1">
        <f t="shared" si="4"/>
        <v>0.14276243444429998</v>
      </c>
    </row>
    <row r="133" spans="1:7" x14ac:dyDescent="0.2">
      <c r="A133" s="3">
        <v>43233</v>
      </c>
      <c r="B133" s="2">
        <v>93.8</v>
      </c>
      <c r="C133" s="2">
        <v>93.81</v>
      </c>
      <c r="D133" s="2">
        <v>93.04</v>
      </c>
      <c r="E133" s="2">
        <v>93.27</v>
      </c>
      <c r="F133" s="1">
        <f t="shared" si="6"/>
        <v>4.8363789257423635E-3</v>
      </c>
      <c r="G133" s="1">
        <f t="shared" si="4"/>
        <v>9.6506942442805041E-2</v>
      </c>
    </row>
    <row r="134" spans="1:7" x14ac:dyDescent="0.2">
      <c r="A134" s="3">
        <v>43234</v>
      </c>
      <c r="B134" s="2">
        <v>93.25</v>
      </c>
      <c r="C134" s="2">
        <v>93.45</v>
      </c>
      <c r="D134" s="2">
        <v>92.72</v>
      </c>
      <c r="E134" s="2">
        <v>93.4</v>
      </c>
      <c r="F134" s="1">
        <f t="shared" si="6"/>
        <v>1.3928324960249272E-3</v>
      </c>
      <c r="G134" s="1">
        <f t="shared" si="4"/>
        <v>9.6561884950771712E-2</v>
      </c>
    </row>
    <row r="135" spans="1:7" x14ac:dyDescent="0.2">
      <c r="A135" s="3">
        <v>43235</v>
      </c>
      <c r="B135" s="2">
        <v>93.19</v>
      </c>
      <c r="C135" s="2">
        <v>93.5</v>
      </c>
      <c r="D135" s="2">
        <v>93.09</v>
      </c>
      <c r="E135" s="2">
        <v>93.25</v>
      </c>
      <c r="F135" s="1">
        <f t="shared" si="6"/>
        <v>-1.6072867108720265E-3</v>
      </c>
      <c r="G135" s="1">
        <f t="shared" si="4"/>
        <v>7.5192251965189277E-2</v>
      </c>
    </row>
    <row r="136" spans="1:7" x14ac:dyDescent="0.2">
      <c r="A136" s="3">
        <v>43236</v>
      </c>
      <c r="B136" s="2">
        <v>93.19</v>
      </c>
      <c r="C136" s="2">
        <v>93.47</v>
      </c>
      <c r="D136" s="2">
        <v>92.77</v>
      </c>
      <c r="E136" s="2">
        <v>93.3</v>
      </c>
      <c r="F136" s="1">
        <f t="shared" si="6"/>
        <v>5.3604932937308624E-4</v>
      </c>
      <c r="G136" s="1">
        <f t="shared" si="4"/>
        <v>7.4684536129939999E-2</v>
      </c>
    </row>
    <row r="137" spans="1:7" x14ac:dyDescent="0.2">
      <c r="A137" s="3">
        <v>43237</v>
      </c>
      <c r="B137" s="2">
        <v>93.56</v>
      </c>
      <c r="C137" s="2">
        <v>93.74</v>
      </c>
      <c r="D137" s="2">
        <v>93.14</v>
      </c>
      <c r="E137" s="2">
        <v>93.46</v>
      </c>
      <c r="F137" s="1">
        <f t="shared" si="6"/>
        <v>1.7134294189819828E-3</v>
      </c>
      <c r="G137" s="1">
        <f t="shared" si="4"/>
        <v>7.2076163319598333E-2</v>
      </c>
    </row>
    <row r="138" spans="1:7" x14ac:dyDescent="0.2">
      <c r="A138" s="3">
        <v>43238</v>
      </c>
      <c r="B138" s="2">
        <v>93.8</v>
      </c>
      <c r="C138" s="2">
        <v>94.84</v>
      </c>
      <c r="D138" s="2">
        <v>93.71</v>
      </c>
      <c r="E138" s="2">
        <v>94.38</v>
      </c>
      <c r="F138" s="1">
        <f t="shared" si="6"/>
        <v>9.7956490259613511E-3</v>
      </c>
      <c r="G138" s="1">
        <f t="shared" si="4"/>
        <v>7.783451008756237E-2</v>
      </c>
    </row>
    <row r="139" spans="1:7" x14ac:dyDescent="0.2">
      <c r="A139" s="3">
        <v>43239</v>
      </c>
      <c r="B139" s="2">
        <v>94.69</v>
      </c>
      <c r="C139" s="2">
        <v>95.25</v>
      </c>
      <c r="D139" s="2">
        <v>94.41</v>
      </c>
      <c r="E139" s="2">
        <v>95.17</v>
      </c>
      <c r="F139" s="1">
        <f t="shared" si="6"/>
        <v>8.3355797860106291E-3</v>
      </c>
      <c r="G139" s="1">
        <f t="shared" si="4"/>
        <v>8.0649158568810858E-2</v>
      </c>
    </row>
    <row r="140" spans="1:7" x14ac:dyDescent="0.2">
      <c r="A140" s="3">
        <v>43240</v>
      </c>
      <c r="B140" s="2">
        <v>94.87</v>
      </c>
      <c r="C140" s="2">
        <v>95.2</v>
      </c>
      <c r="D140" s="2">
        <v>94.78</v>
      </c>
      <c r="E140" s="2">
        <v>94.83</v>
      </c>
      <c r="F140" s="1">
        <f t="shared" si="6"/>
        <v>-3.5789511886160255E-3</v>
      </c>
      <c r="G140" s="1">
        <f t="shared" si="4"/>
        <v>8.4672343606758071E-2</v>
      </c>
    </row>
    <row r="141" spans="1:7" x14ac:dyDescent="0.2">
      <c r="A141" s="3">
        <v>43241</v>
      </c>
      <c r="B141" s="2">
        <v>94.86</v>
      </c>
      <c r="C141" s="2">
        <v>95.49</v>
      </c>
      <c r="D141" s="2">
        <v>94.84</v>
      </c>
      <c r="E141" s="2">
        <v>95.2</v>
      </c>
      <c r="F141" s="1">
        <f t="shared" si="6"/>
        <v>3.8941269016836825E-3</v>
      </c>
      <c r="G141" s="1">
        <f t="shared" si="4"/>
        <v>8.4682459027324228E-2</v>
      </c>
    </row>
    <row r="142" spans="1:7" x14ac:dyDescent="0.2">
      <c r="A142" s="3">
        <v>43242</v>
      </c>
      <c r="B142" s="2">
        <v>95.31</v>
      </c>
      <c r="C142" s="2">
        <v>95.31</v>
      </c>
      <c r="D142" s="2">
        <v>94.42</v>
      </c>
      <c r="E142" s="2">
        <v>94.99</v>
      </c>
      <c r="F142" s="1">
        <f t="shared" si="6"/>
        <v>-2.2083188952286546E-3</v>
      </c>
      <c r="G142" s="1">
        <f t="shared" si="4"/>
        <v>8.7317454983266152E-2</v>
      </c>
    </row>
    <row r="143" spans="1:7" x14ac:dyDescent="0.2">
      <c r="A143" s="3">
        <v>43243</v>
      </c>
      <c r="B143" s="2">
        <v>94.69</v>
      </c>
      <c r="C143" s="2">
        <v>95.31</v>
      </c>
      <c r="D143" s="2">
        <v>94.42</v>
      </c>
      <c r="E143" s="2">
        <v>94.97</v>
      </c>
      <c r="F143" s="1">
        <f t="shared" si="6"/>
        <v>-2.105706472299115E-4</v>
      </c>
      <c r="G143" s="1">
        <f t="shared" si="4"/>
        <v>8.3358062129526567E-2</v>
      </c>
    </row>
    <row r="144" spans="1:7" x14ac:dyDescent="0.2">
      <c r="A144" s="3">
        <v>43244</v>
      </c>
      <c r="B144" s="2">
        <v>94.77</v>
      </c>
      <c r="C144" s="2">
        <v>94.86</v>
      </c>
      <c r="D144" s="2">
        <v>93.84</v>
      </c>
      <c r="E144" s="2">
        <v>94.79</v>
      </c>
      <c r="F144" s="1">
        <f t="shared" si="6"/>
        <v>-1.8971337899108161E-3</v>
      </c>
      <c r="G144" s="1">
        <f t="shared" si="4"/>
        <v>8.2316947313122765E-2</v>
      </c>
    </row>
    <row r="145" spans="1:7" x14ac:dyDescent="0.2">
      <c r="A145" s="3">
        <v>43245</v>
      </c>
      <c r="B145" s="2">
        <v>94.51</v>
      </c>
      <c r="C145" s="2">
        <v>94.52</v>
      </c>
      <c r="D145" s="2">
        <v>93.61</v>
      </c>
      <c r="E145" s="2">
        <v>94.03</v>
      </c>
      <c r="F145" s="1">
        <f t="shared" si="6"/>
        <v>-8.0500381759647244E-3</v>
      </c>
      <c r="G145" s="1">
        <f t="shared" si="4"/>
        <v>7.9397642048110215E-2</v>
      </c>
    </row>
    <row r="146" spans="1:7" x14ac:dyDescent="0.2">
      <c r="A146" s="3">
        <v>43246</v>
      </c>
      <c r="B146" s="2">
        <v>94.22</v>
      </c>
      <c r="C146" s="2">
        <v>94.33</v>
      </c>
      <c r="D146" s="2">
        <v>93.46</v>
      </c>
      <c r="E146" s="2">
        <v>93.81</v>
      </c>
      <c r="F146" s="1">
        <f t="shared" si="6"/>
        <v>-2.3424201511258792E-3</v>
      </c>
      <c r="G146" s="1">
        <f t="shared" si="4"/>
        <v>7.5661152444808033E-2</v>
      </c>
    </row>
    <row r="147" spans="1:7" x14ac:dyDescent="0.2">
      <c r="A147" s="3">
        <v>43247</v>
      </c>
      <c r="B147" s="2">
        <v>93.93</v>
      </c>
      <c r="C147" s="2">
        <v>94.6</v>
      </c>
      <c r="D147" s="2">
        <v>93.38</v>
      </c>
      <c r="E147" s="2">
        <v>93.75</v>
      </c>
      <c r="F147" s="1">
        <f t="shared" si="6"/>
        <v>-6.3979528733946241E-4</v>
      </c>
      <c r="G147" s="1">
        <f t="shared" si="4"/>
        <v>7.347444119651933E-2</v>
      </c>
    </row>
    <row r="148" spans="1:7" x14ac:dyDescent="0.2">
      <c r="A148" s="3">
        <v>43248</v>
      </c>
      <c r="B148" s="2">
        <v>92.69</v>
      </c>
      <c r="C148" s="2">
        <v>93.1</v>
      </c>
      <c r="D148" s="2">
        <v>91.25</v>
      </c>
      <c r="E148" s="2">
        <v>92.73</v>
      </c>
      <c r="F148" s="1">
        <f t="shared" si="6"/>
        <v>-1.0939620038385564E-2</v>
      </c>
      <c r="G148" s="1">
        <f t="shared" si="4"/>
        <v>8.7438356358733538E-2</v>
      </c>
    </row>
    <row r="149" spans="1:7" x14ac:dyDescent="0.2">
      <c r="A149" s="3">
        <v>43249</v>
      </c>
      <c r="B149" s="2">
        <v>92.46</v>
      </c>
      <c r="C149" s="2">
        <v>92.53</v>
      </c>
      <c r="D149" s="2">
        <v>91.34</v>
      </c>
      <c r="E149" s="2">
        <v>91.95</v>
      </c>
      <c r="F149" s="1">
        <f t="shared" si="6"/>
        <v>-8.4470937618045389E-3</v>
      </c>
      <c r="G149" s="1">
        <f t="shared" ref="G149:G169" si="7">STDEV(F136:F149)*SQRT(252)</f>
        <v>9.3687823178580501E-2</v>
      </c>
    </row>
    <row r="150" spans="1:7" x14ac:dyDescent="0.2">
      <c r="A150" s="3">
        <v>43250</v>
      </c>
      <c r="B150" s="2">
        <v>91.42</v>
      </c>
      <c r="C150" s="2">
        <v>91.76</v>
      </c>
      <c r="D150" s="2">
        <v>91.01</v>
      </c>
      <c r="E150" s="2">
        <v>91.59</v>
      </c>
      <c r="F150" s="1">
        <f t="shared" si="6"/>
        <v>-3.9228556354339037E-3</v>
      </c>
      <c r="G150" s="1">
        <f t="shared" si="7"/>
        <v>9.417677030828038E-2</v>
      </c>
    </row>
    <row r="151" spans="1:7" x14ac:dyDescent="0.2">
      <c r="A151" s="3">
        <v>43251</v>
      </c>
      <c r="B151" s="2">
        <v>91.33</v>
      </c>
      <c r="C151" s="2">
        <v>91.91</v>
      </c>
      <c r="D151" s="2">
        <v>91.28</v>
      </c>
      <c r="E151" s="2">
        <v>91.47</v>
      </c>
      <c r="F151" s="1">
        <f t="shared" si="6"/>
        <v>-1.3110457466230722E-3</v>
      </c>
      <c r="G151" s="1">
        <f t="shared" si="7"/>
        <v>9.3156200853244109E-2</v>
      </c>
    </row>
    <row r="152" spans="1:7" x14ac:dyDescent="0.2">
      <c r="A152" s="3">
        <v>43252</v>
      </c>
      <c r="B152" s="2">
        <v>91.18</v>
      </c>
      <c r="C152" s="2">
        <v>91.55</v>
      </c>
      <c r="D152" s="2">
        <v>91.13</v>
      </c>
      <c r="E152" s="2">
        <v>91.34</v>
      </c>
      <c r="F152" s="1">
        <f t="shared" si="6"/>
        <v>-1.4222419114201319E-3</v>
      </c>
      <c r="G152" s="1">
        <f t="shared" si="7"/>
        <v>7.7552605722139303E-2</v>
      </c>
    </row>
    <row r="153" spans="1:7" x14ac:dyDescent="0.2">
      <c r="A153" s="3">
        <v>43253</v>
      </c>
      <c r="B153" s="2">
        <v>91.93</v>
      </c>
      <c r="C153" s="2">
        <v>91.97</v>
      </c>
      <c r="D153" s="2">
        <v>91.28</v>
      </c>
      <c r="E153" s="2">
        <v>91.78</v>
      </c>
      <c r="F153" s="1">
        <f t="shared" si="6"/>
        <v>4.8056012098346215E-3</v>
      </c>
      <c r="G153" s="1">
        <f t="shared" si="7"/>
        <v>6.9122284592412458E-2</v>
      </c>
    </row>
    <row r="154" spans="1:7" x14ac:dyDescent="0.2">
      <c r="A154" s="3">
        <v>43254</v>
      </c>
      <c r="B154" s="2">
        <v>91.2</v>
      </c>
      <c r="C154" s="2">
        <v>91.36</v>
      </c>
      <c r="D154" s="2">
        <v>90.43</v>
      </c>
      <c r="E154" s="2">
        <v>90.72</v>
      </c>
      <c r="F154" s="1">
        <f t="shared" si="6"/>
        <v>-1.1616568987245503E-2</v>
      </c>
      <c r="G154" s="1">
        <f t="shared" si="7"/>
        <v>7.9048645847575774E-2</v>
      </c>
    </row>
    <row r="155" spans="1:7" x14ac:dyDescent="0.2">
      <c r="A155" s="3">
        <v>43255</v>
      </c>
      <c r="B155" s="2">
        <v>90.43</v>
      </c>
      <c r="C155" s="2">
        <v>90.43</v>
      </c>
      <c r="D155" s="2">
        <v>89.69</v>
      </c>
      <c r="E155" s="2">
        <v>89.89</v>
      </c>
      <c r="F155" s="1">
        <f t="shared" si="6"/>
        <v>-9.1911393941340354E-3</v>
      </c>
      <c r="G155" s="1">
        <f t="shared" si="7"/>
        <v>7.5826525098056249E-2</v>
      </c>
    </row>
    <row r="156" spans="1:7" x14ac:dyDescent="0.2">
      <c r="A156" s="3">
        <v>43256</v>
      </c>
      <c r="B156" s="2">
        <v>89.85</v>
      </c>
      <c r="C156" s="2">
        <v>89.92</v>
      </c>
      <c r="D156" s="2">
        <v>89.14</v>
      </c>
      <c r="E156" s="2">
        <v>89.4</v>
      </c>
      <c r="F156" s="1">
        <f t="shared" si="6"/>
        <v>-5.4660184058394467E-3</v>
      </c>
      <c r="G156" s="1">
        <f t="shared" si="7"/>
        <v>7.5510484687221005E-2</v>
      </c>
    </row>
    <row r="157" spans="1:7" x14ac:dyDescent="0.2">
      <c r="A157" s="3">
        <v>43257</v>
      </c>
      <c r="B157" s="2">
        <v>89.34</v>
      </c>
      <c r="C157" s="2">
        <v>89.48</v>
      </c>
      <c r="D157" s="2">
        <v>88.9</v>
      </c>
      <c r="E157" s="2">
        <v>88.95</v>
      </c>
      <c r="F157" s="1">
        <f t="shared" si="6"/>
        <v>-5.046268067624384E-3</v>
      </c>
      <c r="G157" s="1">
        <f t="shared" si="7"/>
        <v>7.314393461414026E-2</v>
      </c>
    </row>
    <row r="158" spans="1:7" x14ac:dyDescent="0.2">
      <c r="A158" s="3">
        <v>43258</v>
      </c>
      <c r="B158" s="2">
        <v>88.66</v>
      </c>
      <c r="C158" s="2">
        <v>88.87</v>
      </c>
      <c r="D158" s="2">
        <v>88.06</v>
      </c>
      <c r="E158" s="2">
        <v>88.16</v>
      </c>
      <c r="F158" s="1">
        <f t="shared" si="6"/>
        <v>-8.9210687072398837E-3</v>
      </c>
      <c r="G158" s="1">
        <f t="shared" si="7"/>
        <v>7.4033212786952476E-2</v>
      </c>
    </row>
    <row r="159" spans="1:7" x14ac:dyDescent="0.2">
      <c r="A159" s="3">
        <v>43259</v>
      </c>
      <c r="B159" s="2">
        <v>88.01</v>
      </c>
      <c r="C159" s="2">
        <v>88.49</v>
      </c>
      <c r="D159" s="2">
        <v>87.65</v>
      </c>
      <c r="E159" s="2">
        <v>87.91</v>
      </c>
      <c r="F159" s="1">
        <f t="shared" si="6"/>
        <v>-2.839781541517141E-3</v>
      </c>
      <c r="G159" s="1">
        <f t="shared" si="7"/>
        <v>7.3414450702267944E-2</v>
      </c>
    </row>
    <row r="160" spans="1:7" x14ac:dyDescent="0.2">
      <c r="A160" s="3">
        <v>43260</v>
      </c>
      <c r="B160" s="2">
        <v>87.82</v>
      </c>
      <c r="C160" s="2">
        <v>87.87</v>
      </c>
      <c r="D160" s="2">
        <v>86.78</v>
      </c>
      <c r="E160" s="2">
        <v>86.92</v>
      </c>
      <c r="F160" s="1">
        <f t="shared" si="6"/>
        <v>-1.1325408474858283E-2</v>
      </c>
      <c r="G160" s="1">
        <f t="shared" si="7"/>
        <v>7.7354987258709484E-2</v>
      </c>
    </row>
    <row r="161" spans="1:7" x14ac:dyDescent="0.2">
      <c r="A161" s="3">
        <v>43261</v>
      </c>
      <c r="B161" s="2">
        <v>87.13</v>
      </c>
      <c r="C161" s="2">
        <v>87.87</v>
      </c>
      <c r="D161" s="2">
        <v>86.83</v>
      </c>
      <c r="E161" s="2">
        <v>86.83</v>
      </c>
      <c r="F161" s="1">
        <f t="shared" si="6"/>
        <v>-1.0359713156751719E-3</v>
      </c>
      <c r="G161" s="1">
        <f t="shared" si="7"/>
        <v>7.6894444000744883E-2</v>
      </c>
    </row>
    <row r="162" spans="1:7" x14ac:dyDescent="0.2">
      <c r="A162" s="3">
        <v>43262</v>
      </c>
      <c r="B162" s="2">
        <v>86.95</v>
      </c>
      <c r="C162" s="2">
        <v>87.35</v>
      </c>
      <c r="D162" s="2">
        <v>86.39</v>
      </c>
      <c r="E162" s="2">
        <v>86.42</v>
      </c>
      <c r="F162" s="1">
        <f t="shared" si="6"/>
        <v>-4.7330535687665981E-3</v>
      </c>
      <c r="G162" s="1">
        <f t="shared" si="7"/>
        <v>7.2744284635836057E-2</v>
      </c>
    </row>
    <row r="163" spans="1:7" x14ac:dyDescent="0.2">
      <c r="A163" s="3">
        <v>43263</v>
      </c>
      <c r="B163" s="2">
        <v>86.58</v>
      </c>
      <c r="C163" s="2">
        <v>87.42</v>
      </c>
      <c r="D163" s="2">
        <v>86.45</v>
      </c>
      <c r="E163" s="2">
        <v>86.98</v>
      </c>
      <c r="F163" s="1">
        <f t="shared" si="6"/>
        <v>6.4590766657052767E-3</v>
      </c>
      <c r="G163" s="1">
        <f t="shared" si="7"/>
        <v>8.5549193998316259E-2</v>
      </c>
    </row>
    <row r="164" spans="1:7" x14ac:dyDescent="0.2">
      <c r="A164" s="3">
        <v>43264</v>
      </c>
      <c r="B164" s="2">
        <v>87.15</v>
      </c>
      <c r="C164" s="2">
        <v>87.69</v>
      </c>
      <c r="D164" s="2">
        <v>86.76</v>
      </c>
      <c r="E164" s="2">
        <v>87.52</v>
      </c>
      <c r="F164" s="1">
        <f t="shared" ref="F164:F169" si="8">LN(E164/E163)</f>
        <v>6.1891315041786629E-3</v>
      </c>
      <c r="G164" s="1">
        <f t="shared" si="7"/>
        <v>9.5798312577773173E-2</v>
      </c>
    </row>
    <row r="165" spans="1:7" x14ac:dyDescent="0.2">
      <c r="A165" s="3">
        <v>43265</v>
      </c>
      <c r="B165" s="2">
        <v>87.5</v>
      </c>
      <c r="C165" s="2">
        <v>87.7</v>
      </c>
      <c r="D165" s="2">
        <v>86.82</v>
      </c>
      <c r="E165" s="2">
        <v>87.09</v>
      </c>
      <c r="F165" s="1">
        <f t="shared" si="8"/>
        <v>-4.9252719690228014E-3</v>
      </c>
      <c r="G165" s="1">
        <f t="shared" si="7"/>
        <v>9.5609670604493824E-2</v>
      </c>
    </row>
    <row r="166" spans="1:7" x14ac:dyDescent="0.2">
      <c r="A166" s="3">
        <v>43266</v>
      </c>
      <c r="B166" s="2">
        <v>86.62</v>
      </c>
      <c r="C166" s="2">
        <v>87.49</v>
      </c>
      <c r="D166" s="2">
        <v>86.58</v>
      </c>
      <c r="E166" s="2">
        <v>86.82</v>
      </c>
      <c r="F166" s="1">
        <f t="shared" si="8"/>
        <v>-3.1050568332007984E-3</v>
      </c>
      <c r="G166" s="1">
        <f t="shared" si="7"/>
        <v>9.51646221278067E-2</v>
      </c>
    </row>
    <row r="167" spans="1:7" x14ac:dyDescent="0.2">
      <c r="A167" s="3">
        <v>43267</v>
      </c>
      <c r="B167" s="2">
        <v>87.28</v>
      </c>
      <c r="C167" s="2">
        <v>88.99</v>
      </c>
      <c r="D167" s="2">
        <v>87.28</v>
      </c>
      <c r="E167" s="2">
        <v>88.84</v>
      </c>
      <c r="F167" s="1">
        <f t="shared" si="8"/>
        <v>2.2999989154779257E-2</v>
      </c>
      <c r="G167" s="1">
        <f t="shared" si="7"/>
        <v>0.14478203398132067</v>
      </c>
    </row>
    <row r="168" spans="1:7" x14ac:dyDescent="0.2">
      <c r="A168" s="3">
        <v>43268</v>
      </c>
      <c r="B168" s="2">
        <v>88.63</v>
      </c>
      <c r="C168" s="2">
        <v>88.63</v>
      </c>
      <c r="D168" s="2">
        <v>87.23</v>
      </c>
      <c r="E168" s="2">
        <v>87.27</v>
      </c>
      <c r="F168" s="1">
        <f t="shared" si="8"/>
        <v>-1.7830237851006812E-2</v>
      </c>
      <c r="G168" s="1">
        <f t="shared" si="7"/>
        <v>0.15458012581644381</v>
      </c>
    </row>
    <row r="169" spans="1:7" x14ac:dyDescent="0.2">
      <c r="A169" s="3">
        <v>43269</v>
      </c>
      <c r="B169" s="2">
        <v>87.39</v>
      </c>
      <c r="C169" s="2">
        <v>87.55</v>
      </c>
      <c r="D169" s="2">
        <v>86.79</v>
      </c>
      <c r="E169" s="2">
        <v>87.16</v>
      </c>
      <c r="F169" s="1">
        <f t="shared" si="8"/>
        <v>-1.2612510988008173E-3</v>
      </c>
      <c r="G169" s="1">
        <f t="shared" si="7"/>
        <v>0.1518309204813888</v>
      </c>
    </row>
    <row r="170" spans="1:7" x14ac:dyDescent="0.2">
      <c r="A170" s="3">
        <v>43270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42</vt:i4>
      </vt:variant>
    </vt:vector>
  </HeadingPairs>
  <TitlesOfParts>
    <vt:vector size="43" baseType="lpstr">
      <vt:lpstr>Sample Data Set</vt:lpstr>
      <vt:lpstr>'Sample Data Set'!ExternalData_1</vt:lpstr>
      <vt:lpstr>'Sample Data Set'!ExternalData_10</vt:lpstr>
      <vt:lpstr>'Sample Data Set'!ExternalData_11</vt:lpstr>
      <vt:lpstr>'Sample Data Set'!ExternalData_12</vt:lpstr>
      <vt:lpstr>'Sample Data Set'!ExternalData_13</vt:lpstr>
      <vt:lpstr>'Sample Data Set'!ExternalData_14</vt:lpstr>
      <vt:lpstr>'Sample Data Set'!ExternalData_15</vt:lpstr>
      <vt:lpstr>'Sample Data Set'!ExternalData_16</vt:lpstr>
      <vt:lpstr>'Sample Data Set'!ExternalData_17</vt:lpstr>
      <vt:lpstr>'Sample Data Set'!ExternalData_18</vt:lpstr>
      <vt:lpstr>'Sample Data Set'!ExternalData_19</vt:lpstr>
      <vt:lpstr>'Sample Data Set'!ExternalData_2</vt:lpstr>
      <vt:lpstr>'Sample Data Set'!ExternalData_20</vt:lpstr>
      <vt:lpstr>'Sample Data Set'!ExternalData_21</vt:lpstr>
      <vt:lpstr>'Sample Data Set'!ExternalData_22</vt:lpstr>
      <vt:lpstr>'Sample Data Set'!ExternalData_23</vt:lpstr>
      <vt:lpstr>'Sample Data Set'!ExternalData_24</vt:lpstr>
      <vt:lpstr>'Sample Data Set'!ExternalData_25</vt:lpstr>
      <vt:lpstr>'Sample Data Set'!ExternalData_26</vt:lpstr>
      <vt:lpstr>'Sample Data Set'!ExternalData_27</vt:lpstr>
      <vt:lpstr>'Sample Data Set'!ExternalData_28</vt:lpstr>
      <vt:lpstr>'Sample Data Set'!ExternalData_29</vt:lpstr>
      <vt:lpstr>'Sample Data Set'!ExternalData_3</vt:lpstr>
      <vt:lpstr>'Sample Data Set'!ExternalData_30</vt:lpstr>
      <vt:lpstr>'Sample Data Set'!ExternalData_31</vt:lpstr>
      <vt:lpstr>'Sample Data Set'!ExternalData_32</vt:lpstr>
      <vt:lpstr>'Sample Data Set'!ExternalData_33</vt:lpstr>
      <vt:lpstr>'Sample Data Set'!ExternalData_36</vt:lpstr>
      <vt:lpstr>'Sample Data Set'!ExternalData_37</vt:lpstr>
      <vt:lpstr>'Sample Data Set'!ExternalData_38</vt:lpstr>
      <vt:lpstr>'Sample Data Set'!ExternalData_39</vt:lpstr>
      <vt:lpstr>'Sample Data Set'!ExternalData_4</vt:lpstr>
      <vt:lpstr>'Sample Data Set'!ExternalData_40</vt:lpstr>
      <vt:lpstr>'Sample Data Set'!ExternalData_41</vt:lpstr>
      <vt:lpstr>'Sample Data Set'!ExternalData_42</vt:lpstr>
      <vt:lpstr>'Sample Data Set'!ExternalData_43</vt:lpstr>
      <vt:lpstr>'Sample Data Set'!ExternalData_44</vt:lpstr>
      <vt:lpstr>'Sample Data Set'!ExternalData_5</vt:lpstr>
      <vt:lpstr>'Sample Data Set'!ExternalData_6</vt:lpstr>
      <vt:lpstr>'Sample Data Set'!ExternalData_7</vt:lpstr>
      <vt:lpstr>'Sample Data Set'!ExternalData_8</vt:lpstr>
      <vt:lpstr>'Sample Data Set'!ExternalData_9</vt:lpstr>
    </vt:vector>
  </TitlesOfParts>
  <Company>http://www.OptionTradingTips.com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</dc:creator>
  <cp:lastModifiedBy>DELL</cp:lastModifiedBy>
  <cp:lastPrinted>2013-09-03T01:52:05Z</cp:lastPrinted>
  <dcterms:created xsi:type="dcterms:W3CDTF">2006-03-23T23:14:50Z</dcterms:created>
  <dcterms:modified xsi:type="dcterms:W3CDTF">2020-08-25T18:37:59Z</dcterms:modified>
</cp:coreProperties>
</file>